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eise\Downloads\KJA\outputs\gantt-kja-20260922\"/>
    </mc:Choice>
  </mc:AlternateContent>
  <xr:revisionPtr revIDLastSave="0" documentId="13_ncr:1_{63209FEE-7164-4A0C-A731-F259B728931B}" xr6:coauthVersionLast="47" xr6:coauthVersionMax="47" xr10:uidLastSave="{00000000-0000-0000-0000-000000000000}"/>
  <bookViews>
    <workbookView xWindow="-57720" yWindow="240" windowWidth="29040" windowHeight="16080" activeTab="2" xr2:uid="{00000000-000D-0000-FFFF-FFFF00000000}"/>
  </bookViews>
  <sheets>
    <sheet name="LEEME" sheetId="1" r:id="rId1"/>
    <sheet name="ANTECEDENTE" sheetId="2" r:id="rId2"/>
    <sheet name="SPRINT 1" sheetId="3" r:id="rId3"/>
    <sheet name="SPRINT 2" sheetId="4" r:id="rId4"/>
    <sheet name="SPRINT 3" sheetId="5" r:id="rId5"/>
    <sheet name="SPRINT 4" sheetId="6" r:id="rId6"/>
    <sheet name="TAREAS" sheetId="7" r:id="rId7"/>
    <sheet name="CALENDARIO" sheetId="8" r:id="rId8"/>
  </sheets>
  <definedNames>
    <definedName name="_xlnm._FilterDatabase" localSheetId="7" hidden="1">CALENDARIO!$A$4:$D$130</definedName>
    <definedName name="_xlnm._FilterDatabase" localSheetId="6" hidden="1">TAREAS!$A$4:$N$64</definedName>
    <definedName name="_xlnm.Print_Area" localSheetId="1">ANTECEDENTE!$A$1:$H$11</definedName>
    <definedName name="_xlnm.Print_Area" localSheetId="7">CALENDARIO!$A$1:$D$130</definedName>
    <definedName name="_xlnm.Print_Area" localSheetId="0">LEEME!$A$1:$H$22</definedName>
    <definedName name="_xlnm.Print_Area" localSheetId="2">'SPRINT 1'!$A$1:$AH$37</definedName>
    <definedName name="_xlnm.Print_Area" localSheetId="3">'SPRINT 2'!$A$1:$AI$19</definedName>
    <definedName name="_xlnm.Print_Area" localSheetId="4">'SPRINT 3'!$A$1:$AH$16</definedName>
    <definedName name="_xlnm.Print_Area" localSheetId="5">'SPRINT 4'!$A$1:$AI$17</definedName>
    <definedName name="_xlnm.Print_Area" localSheetId="6">TAREAS!$A$1:$F$64</definedName>
    <definedName name="_xlnm.Print_Titles" localSheetId="1">ANTECEDENTE!$1:$8,ANTECEDENTE!$A:$D</definedName>
    <definedName name="_xlnm.Print_Titles" localSheetId="7">CALENDARIO!$1:$4</definedName>
    <definedName name="_xlnm.Print_Titles" localSheetId="2">'SPRINT 1'!$1:$8,'SPRINT 1'!$A:$D</definedName>
    <definedName name="_xlnm.Print_Titles" localSheetId="3">'SPRINT 2'!$1:$8,'SPRINT 2'!$A:$D</definedName>
    <definedName name="_xlnm.Print_Titles" localSheetId="4">'SPRINT 3'!$1:$8,'SPRINT 3'!$A:$D</definedName>
    <definedName name="_xlnm.Print_Titles" localSheetId="5">'SPRINT 4'!$1:$8,'SPRINT 4'!$A:$D</definedName>
    <definedName name="_xlnm.Print_Titles" localSheetId="6">TAREAS!$1:$4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7" i="6" l="1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C17" i="6"/>
  <c r="B17" i="6"/>
  <c r="A17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C16" i="6"/>
  <c r="B16" i="6"/>
  <c r="A16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C15" i="6"/>
  <c r="B15" i="6"/>
  <c r="A15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C14" i="6"/>
  <c r="B14" i="6"/>
  <c r="A14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C13" i="6"/>
  <c r="B13" i="6"/>
  <c r="A13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C12" i="6"/>
  <c r="B12" i="6"/>
  <c r="A12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C11" i="6"/>
  <c r="B11" i="6"/>
  <c r="A11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C10" i="6"/>
  <c r="B10" i="6"/>
  <c r="A10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C9" i="6"/>
  <c r="B9" i="6"/>
  <c r="A9" i="6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6" i="5"/>
  <c r="B16" i="5"/>
  <c r="A16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C15" i="5"/>
  <c r="B15" i="5"/>
  <c r="A15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C14" i="5"/>
  <c r="B14" i="5"/>
  <c r="A14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C13" i="5"/>
  <c r="B13" i="5"/>
  <c r="A13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C12" i="5"/>
  <c r="B12" i="5"/>
  <c r="A12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C11" i="5"/>
  <c r="B11" i="5"/>
  <c r="A11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C10" i="5"/>
  <c r="B10" i="5"/>
  <c r="A10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C9" i="5"/>
  <c r="B9" i="5"/>
  <c r="A9" i="5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C19" i="4"/>
  <c r="B19" i="4"/>
  <c r="A19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C18" i="4"/>
  <c r="B18" i="4"/>
  <c r="A18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C17" i="4"/>
  <c r="B17" i="4"/>
  <c r="A17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C16" i="4"/>
  <c r="B16" i="4"/>
  <c r="A16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C15" i="4"/>
  <c r="B15" i="4"/>
  <c r="A15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C14" i="4"/>
  <c r="B14" i="4"/>
  <c r="A14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C13" i="4"/>
  <c r="B13" i="4"/>
  <c r="A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C12" i="4"/>
  <c r="B12" i="4"/>
  <c r="A12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C11" i="4"/>
  <c r="B11" i="4"/>
  <c r="A11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C10" i="4"/>
  <c r="B10" i="4"/>
  <c r="A10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C9" i="4"/>
  <c r="B9" i="4"/>
  <c r="A9" i="4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C37" i="3"/>
  <c r="B37" i="3"/>
  <c r="A37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C36" i="3"/>
  <c r="B36" i="3"/>
  <c r="A36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C35" i="3"/>
  <c r="B35" i="3"/>
  <c r="A35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C34" i="3"/>
  <c r="B34" i="3"/>
  <c r="A34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C33" i="3"/>
  <c r="B33" i="3"/>
  <c r="A33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C32" i="3"/>
  <c r="B32" i="3"/>
  <c r="A32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C31" i="3"/>
  <c r="B31" i="3"/>
  <c r="A31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C30" i="3"/>
  <c r="B30" i="3"/>
  <c r="A30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C29" i="3"/>
  <c r="B29" i="3"/>
  <c r="A29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C28" i="3"/>
  <c r="B28" i="3"/>
  <c r="A28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C27" i="3"/>
  <c r="B27" i="3"/>
  <c r="A27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C26" i="3"/>
  <c r="B26" i="3"/>
  <c r="A26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C25" i="3"/>
  <c r="B25" i="3"/>
  <c r="A25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C24" i="3"/>
  <c r="B24" i="3"/>
  <c r="A24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C23" i="3"/>
  <c r="B23" i="3"/>
  <c r="A23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C22" i="3"/>
  <c r="B22" i="3"/>
  <c r="A22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C21" i="3"/>
  <c r="B21" i="3"/>
  <c r="A21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C20" i="3"/>
  <c r="B20" i="3"/>
  <c r="A20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C19" i="3"/>
  <c r="B19" i="3"/>
  <c r="A19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C18" i="3"/>
  <c r="B18" i="3"/>
  <c r="A18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C17" i="3"/>
  <c r="B17" i="3"/>
  <c r="A17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C16" i="3"/>
  <c r="B16" i="3"/>
  <c r="A16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C15" i="3"/>
  <c r="B15" i="3"/>
  <c r="A15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C14" i="3"/>
  <c r="B14" i="3"/>
  <c r="A14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C13" i="3"/>
  <c r="B13" i="3"/>
  <c r="A13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C12" i="3"/>
  <c r="B12" i="3"/>
  <c r="A12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C11" i="3"/>
  <c r="B11" i="3"/>
  <c r="A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C10" i="3"/>
  <c r="B10" i="3"/>
  <c r="A10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C9" i="3"/>
  <c r="B9" i="3"/>
  <c r="A9" i="3"/>
  <c r="H11" i="2"/>
  <c r="G11" i="2"/>
  <c r="F11" i="2"/>
  <c r="E11" i="2"/>
  <c r="C11" i="2"/>
  <c r="B11" i="2"/>
  <c r="A11" i="2"/>
  <c r="H10" i="2"/>
  <c r="G10" i="2"/>
  <c r="F10" i="2"/>
  <c r="E10" i="2"/>
  <c r="C10" i="2"/>
  <c r="B10" i="2"/>
  <c r="A10" i="2"/>
  <c r="H9" i="2"/>
  <c r="G9" i="2"/>
  <c r="F9" i="2"/>
  <c r="E9" i="2"/>
  <c r="C9" i="2"/>
  <c r="B9" i="2"/>
  <c r="A9" i="2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D15" i="6" l="1"/>
  <c r="D30" i="3"/>
  <c r="D10" i="2"/>
  <c r="D12" i="6"/>
  <c r="D13" i="6"/>
  <c r="D18" i="4"/>
  <c r="D15" i="5"/>
  <c r="D11" i="5"/>
  <c r="D18" i="3"/>
  <c r="D15" i="3"/>
  <c r="D14" i="5"/>
  <c r="D29" i="3"/>
  <c r="D11" i="2"/>
  <c r="D16" i="3"/>
  <c r="D19" i="3"/>
  <c r="D27" i="3"/>
  <c r="D31" i="3"/>
  <c r="D10" i="4"/>
  <c r="D13" i="4"/>
  <c r="D16" i="4"/>
  <c r="D11" i="6"/>
  <c r="D17" i="3"/>
  <c r="D28" i="3"/>
  <c r="D10" i="5"/>
  <c r="D14" i="3"/>
  <c r="D26" i="3"/>
  <c r="D9" i="4"/>
  <c r="D14" i="4"/>
  <c r="D37" i="3"/>
  <c r="D17" i="6"/>
  <c r="D13" i="5"/>
  <c r="D21" i="3"/>
  <c r="D36" i="3"/>
  <c r="D9" i="5"/>
  <c r="D16" i="6"/>
  <c r="D12" i="3"/>
  <c r="D11" i="3"/>
  <c r="D23" i="3"/>
  <c r="D35" i="3"/>
  <c r="D19" i="4"/>
  <c r="D14" i="6"/>
  <c r="D13" i="3"/>
  <c r="D33" i="3"/>
  <c r="D9" i="3"/>
  <c r="D9" i="2"/>
  <c r="D22" i="3"/>
  <c r="D34" i="3"/>
  <c r="D17" i="4"/>
  <c r="D12" i="5"/>
  <c r="D9" i="6"/>
  <c r="D10" i="3"/>
  <c r="D25" i="3"/>
  <c r="D24" i="3"/>
  <c r="D16" i="5"/>
  <c r="D20" i="3"/>
  <c r="D32" i="3"/>
  <c r="D11" i="4"/>
  <c r="D12" i="4"/>
  <c r="D15" i="4"/>
  <c r="D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KJA</author>
  </authors>
  <commentList>
    <comment ref="B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Consultar el commit y la guía de despliegue; no deducir la duración de desarrollo.
Fuente: 3788de4 | 2026-08-28T09:57:29-05:00 | feat(dashboard): asegurar acceso y permisos por rol; d189536 | 2026-08-28T09:58:34-05:00 | feat(dashboard): publicar portal de asistencia
Dependencias: Sin dependencia registrada</t>
        </r>
      </text>
    </comment>
    <comment ref="B10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La guía declara producción el 28/08/2026; no se vuelve a verificar el entorno remoto.
Fuente: docs/dashboard-base.md, encabezado Estado; commit d189536
Dependencias: Sin dependencia registrada</t>
        </r>
      </text>
    </comment>
    <comment ref="B1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Revisar archivos incorporados y separar mejora de código de medición de rendimiento.
Fuente: 0f25307 | 2026-08-28T15:36:47-05:00 | feat(dashboard): habilitar fotos privadas de perfil; 24e8bb1 | 2026-08-28T15:36:58-05:00 | feat(dashboard): gestionar foto de cada integrante; fd0bfe6 | 2026-08-28T18:32:02-05:00 | perf(dashboard): acelerar ingreso de colaboradores
Dependencias: Sin dependencia registrada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KJA</author>
  </authors>
  <commentList>
    <comment ref="B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Cambios registrados el 01/09; permisos y geocerca requieren su prueba de aceptación.
Fuente: 952eb39 | 2026-09-01T11:23:57-05:00 | feat(dashboard): renovar asistencia y proteger el marcado; 6b8b602 | 2026-09-01T14:55:32-05:00 | feat(asistencia): agregar mapa administrable para la oficina; 6989792 | 2026-09-01T15:16:20-05:00 | feat(asistencia): mostrar ruta presencial en el marcado
Dependencias: Sin dependencia registrada</t>
        </r>
      </text>
    </comment>
    <comment ref="B10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Constancia de cambios en acceso y gestión del 01–02/09.
Fuente: f7d42dc | 2026-09-01T14:28:02-05:00 | feat(login): mejorar acceso y agregar prototipo visual; 474f477 | 2026-09-01T23:33:20-05:00 | UI Enhancements: Rediseño del login móvil (bottom sheet), modal de asistencia compacto y nuevo toggle de día/noche; 11047df | 2026-09-02T14:10:32-05:00 | feat(dashboard): mejora la experiencia del panel administrativo
Dependencias: Sin dependencia registrada</t>
        </r>
      </text>
    </comment>
    <comment ref="B1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Verificar flujo personal y resolución administrativa en un entorno autorizado.
Fuente: 02439f8 | 2026-09-03T13:16:03-05:00 | feat(database): habilitar solicitudes, fotos y dias libres; 6e3e60e | 2026-09-03T13:16:12-05:00 | feat(dashboard): integrar ambiente solicitudes fotos y descansos
Dependencias: Sin dependencia registrada</t>
        </r>
      </text>
    </comment>
    <comment ref="B1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Registro integrado el 07/09; esta fecha no representa el inicio de programación.
Fuente: 4c25c26 | 2026-09-07T01:16:45-05:00 | feat(dashboard): completar cierre diario con evidencias
Dependencias: Sin dependencia registrada</t>
        </r>
      </text>
    </comment>
    <comment ref="B1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Se registran corrección, comprobante y acceso a compartir por acción del usuario.
Fuente: 9bb0c8c | 2026-09-07T10:18:33-05:00 | feat(dashboard): permitir corregir evidencias en jornada; e61a507 | 2026-09-07T11:04:16-05:00 | feat(dashboard): gestionar fotos de evidencias; a5aec29 | 2026-09-07T11:31:20-05:00 | feat(dashboard): mostrar comprobante de Facebook; 270d345 | 2026-09-07T11:57:46-05:00 | feat(dashboard): compartir evidencias por WhatsApp
Dependencias: Sin dependencia registrada</t>
        </r>
      </text>
    </comment>
    <comment ref="B1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Días observados: 07, 08 y 09/09; no implica dedicación exclusiva durante todo el intervalo.
Fuente: 8b87a46 | 2026-09-07T17:43:23-05:00 | feat(dashboard): registrar observaciones de revision; 2752fbf | 2026-09-08T00:49:27-05:00 | feat(dashboard): integrar horarios y notificaciones de evidencias; 306e00e | 2026-09-09T13:25:09-05:00 | feat(dashboard): mejora cierres horarios y notificaciones
Dependencias: Sin dependencia registrada</t>
        </r>
      </text>
    </comment>
    <comment ref="B15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Verificar obligación independiente de asistencia y conservación de salida.
Fuente: 843ea64 | 2026-09-10T13:46:08-05:00 | fix: separar jornada de horario de comparticiones; 15244f2 | 2026-09-10T13:50:31-05:00 | fix: marcar comparticiones vencidas como incompletas
Dependencias: Sin dependencia registrada</t>
        </r>
      </text>
    </comment>
    <comment ref="B1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Revisar roles y ámbito del área; el commit no acredita despliegue.
Fuente: ad6304a | 2026-09-11T23:38:46-05:00 | feat(dashboard): mejora gestion operativa y roles
Dependencias: Sin dependencia registrada</t>
        </r>
      </text>
    </comment>
    <comment ref="B1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Guía registra OPTIONS 200 y POST sin sesión 401; no acredita extracción ni publicación real.
Fuente: docs/18-publicaciones-marketing.md, Activación pendiente (12/09/2026)
Dependencias: Sin dependencia registrada</t>
        </r>
      </text>
    </comment>
    <comment ref="B18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El código queda registrado el 13/09; no se presupone activación completa del chat.
Fuente: cfdac3d | 2026-09-13T11:52:29-05:00 | feat(portal): integrar chat privado, publicaciones y mejoras moviles; a324b3e | 2026-09-13T12:40:53-05:00 | fix(chat): compactar vista movil y evitar teclado automatico
Dependencias: Sin dependencia registrada</t>
        </r>
      </text>
    </comment>
    <comment ref="B19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Constancia del frontend y función en Git; validación externa pendiente.
Fuente: cfdac3d | 2026-09-13T11:52:29-05:00 | feat(portal): integrar chat privado, publicaciones y mejoras moviles
Dependencias: Sin dependencia registrada</t>
        </r>
      </text>
    </comment>
    <comment ref="B20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Revisar fórmula provisional y simulación local de pesos.
Fuente: 9fa90d0 | 2026-09-14T06:27:40-05:00 | feat(dashboard): agregar ranking mensual beta y compactar contratos y roles; be8c48f | 2026-09-14T11:04:52-05:00 | feat(ranking): mejorar modal de detalle, navegacion historica y diseno responsive
Dependencias: Sin dependencia registrada</t>
        </r>
      </text>
    </comment>
    <comment ref="B2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Probar ubicación válida, denegada e imprecisa; registro de cambios del 14/09.
Fuente: 49f9437 | 2026-09-14T08:40:46-05:00 | fix(asistencia): mejorar verificacion de ubicacion presencial; 7419211 | 2026-09-14T09:19:55-05:00 | feat(asistencia): admitir documentos en asignaciones y corregir espera de ubicacion
Dependencias: Sin dependencia registrada</t>
        </r>
      </text>
    </comment>
    <comment ref="B2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Verificar documentos permitidos, canceladas y recuperación del borrado.
Fuente: 7419211 | 2026-09-14T09:19:55-05:00 | feat(asistencia): admitir documentos en asignaciones y corregir espera de ubicacion; d736789 | 2026-09-14T11:40:13-05:00 | feat(asignaciones): agregar panel de seguimiento y buscador; 60fb768 | 2026-09-14T17:39:02-05:00 | feat(asignaciones): admitir documentos administrativos y eliminar evidencias; 8d65580 | 2026-09-14T21:15:23-05:00 | fix(asignaciones): excluir canceladas de pendientes y revision
Dependencias: Sin dependencia registrada</t>
        </r>
      </text>
    </comment>
    <comment ref="B2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Registros del 14 y 15/09; probar comunicación con dos cuentas autorizadas.
Fuente: d192f69 | 2026-09-14T11:30:14-05:00 | feat(chat): agrega alertas en tiempo real y bloqueo del scroll móvil; 8c0bfdd | 2026-09-14T21:15:39-05:00 | feat(portal): mejorar pendientes, imagenes del chat y comunicado; cbec54a | 2026-09-15T13:12:27-05:00 | feat(chat): mejora el sonido de las notificaciones
Dependencias: Sin dependencia registrada</t>
        </r>
      </text>
    </comment>
    <comment ref="B2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J conserva registros y Facebook solo aplica según agenda.
Fuente: 1dd2ad5 | 2026-09-15T08:34:37-05:00 | fix: respetar jornadas justificadas en cierres y entregables
Dependencias: Sin dependencia registrada</t>
        </r>
      </text>
    </comment>
    <comment ref="B2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Preparar comprobante sin envío automático a contactos.
Fuente: 8d7ea4a | 2026-09-16T09:16:22-05:00 | feat: preparar comprobantes de comparticiones para WhatsApp
Dependencias: Sin dependencia registrada</t>
        </r>
      </text>
    </comment>
    <comment ref="B26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Conservar el commit documental como antecedente de la actualización posterior.
Fuente: 2c13fe0 | 2026-09-16T09:16:33-05:00 | docs: agregar diagramas de secuencia de administracion
Dependencias: Sin dependencia registrada</t>
        </r>
      </text>
    </comment>
    <comment ref="B2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Registro el 17/09 en Lima; no equivale a aceptación con datos reales.
Fuente: 1cb45a3 | 2026-09-17T00:32:38-05:00 | feat: agregar reportes de Facebook con Excel y PDF por areas; 271bb95 | 2026-09-17T00:37:08-05:00 | test: esperar solicitud al verificar progreso de eliminacion
Dependencias: Sin dependencia registrada</t>
        </r>
      </text>
    </comment>
    <comment ref="B28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Distinguir ranking de cumplimiento y ranking del PDF por total de Sí.
Fuente: b254094 | 2026-09-18T23:12:35-05:00 | feat: renovar panel y ranking con estadisticas y corregir periodo de salidas
Dependencias: Sin dependencia registrada</t>
        </r>
      </text>
    </comment>
    <comment ref="B29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Verificar rechazo por requisitos pendientes y conservación de entrada.
Fuente: ee7555f | 2026-09-19T09:31:00-05:00 | fix: require work evidence before user exit
Dependencias: Sin dependencia registrada</t>
        </r>
      </text>
    </comment>
    <comment ref="B3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Días con cambios: 19 y 20/09; pendiente evaluación completa de accesibilidad.
Fuente: c31d0b9 | 2026-09-19T09:31:21-05:00 | feat: refine user dashboard glass theme and sidebar; accf585 | 2026-09-19T09:49:57-05:00 | style: compact mobile close cards and align statuses; dddf078 | 2026-09-20T00:18:21-05:00 | feat: refine dashboard theme and responsive team experience
Dependencias: Sin dependencia registrada</t>
        </r>
      </text>
    </comment>
    <comment ref="B3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Registrar posteriormente su RF y H.U. formal; no forzar una asociación inexistente.
Fuente: c2de35f | 2026-09-21T10:08:25-05:00 | feat: agregar sistema de anuncio emergente con flyer de comparticiones y logica de gestion; 0d868e6 | 2026-09-21T10:58:31-05:00 | feat(dashboard): agregar carrusel de comunicados; 3fcf72e | 2026-09-21T11:13:55-05:00 | feat(dashboard): integrar carrusel de comunicados
Dependencias: Sin dependencia registrada</t>
        </r>
      </text>
    </comment>
    <comment ref="B32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Aplicar fecha efectiva de política; preservar RPE histórico y reglas de otras personas.
Fuente: 5dfcf5a | 2026-09-21T10:44:12-05:00 | fix: ajustar cierre de Alviery y mejorar botones de pendientes; cd33b15 | 2026-09-21T15:23:06-05:00 | feat(dashboard): excluir RPE en jornadas presenciales
Dependencias: Sin dependencia registrada</t>
        </r>
      </text>
    </comment>
    <comment ref="B3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Existen 175 RF, 81 RNF y 22 secuencias; se verificó estructura, no aceptación funcional.
Fuente: docs/01-requerimientos-portal-asistencia.md; docs/20-diagramas-secuencia-administracion.md; docs/27-matriz-requerimientos.md
Dependencias: Sin dependencia registrada</t>
        </r>
      </text>
    </comment>
    <comment ref="B3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Acta con áreas vigentes, dueño funcional por área y capacidad del equipo.
Fuente: Propuesta de planificación al 22/09/2026; fechas y responsables por confirmar
Dependencias: Sin dependencia registrada</t>
        </r>
      </text>
    </comment>
    <comment ref="B3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H.U. priorizadas con criterios; cada propuesta HU-G queda confirmada, corregida o descartada.
Fuente: Propuesta de planificación al 22/09/2026; fechas y responsables por confirmar
Dependencias: T-029</t>
        </r>
      </text>
    </comment>
    <comment ref="B3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Inventario SQL/Edge/frontend y acta de acceso, geocerca, cierre, excepciones y reportes.
Fuente: Propuesta de planificación al 22/09/2026; fechas y responsables por confirmar
Dependencias: T-030</t>
        </r>
      </text>
    </comment>
    <comment ref="B3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Backlog priorizado, pendientes visibles y capacidad confirmada para octubre.
Fuente: Propuesta de planificación al 22/09/2026; fechas y responsables por confirmar
Dependencias: T-031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KJA</author>
  </authors>
  <commentList>
    <comment ref="B9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Validar horarios/modalidad, evidencias y responsable de revisión. Entregar ficha actualizada, una prueba con el área y hasta tres mejoras priorizadas.
Fuente: Propuesta de planificación al 22/09/2026; fechas y responsables por confirmar
Dependencias: T-032</t>
        </r>
      </text>
    </comment>
    <comment ref="B10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Validar responsables, equipo y reglas de seguimiento. Entregar ficha actualizada, una prueba con el área y hasta tres mejoras priorizadas.
Fuente: Propuesta de planificación al 22/09/2026; fechas y responsables por confirmar
Dependencias: T-033</t>
        </r>
      </text>
    </comment>
    <comment ref="B1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Depurar altas/bajas, contratos, solicitudes y fichas. Entregar ficha actualizada, una prueba con el área y hasta tres mejoras priorizadas.
Fuente: Propuesta de planificación al 22/09/2026; fechas y responsables por confirmar
Dependencias: T-034</t>
        </r>
      </text>
    </comment>
    <comment ref="B1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Revisar agenda Facebook y permisos de borradores/publicación. Entregar ficha actualizada, una prueba con el área y hasta tres mejoras priorizadas.
Fuente: Propuesta de planificación al 22/09/2026; fechas y responsables por confirmar
Dependencias: T-035</t>
        </r>
      </text>
    </comment>
    <comment ref="B13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Revisar entregables documentales, asignaciones y revisión. Entregar ficha actualizada, una prueba con el área y hasta tres mejoras priorizadas.
Fuente: Propuesta de planificación al 22/09/2026; fechas y responsables por confirmar
Dependencias: T-036</t>
        </r>
      </text>
    </comment>
    <comment ref="B1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Acordar formatos, versiones y revisión de archivos gráficos. Entregar ficha actualizada, una prueba con el área y hasta tres mejoras priorizadas.
Fuente: Propuesta de planificación al 22/09/2026; fechas y responsables por confirmar
Dependencias: T-037</t>
        </r>
      </text>
    </comment>
    <comment ref="B15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Validar acceso mínimo y evidencias laborales sin datos de pacientes. Entregar ficha actualizada, una prueba con el área y hasta tres mejoras priorizadas.
Fuente: Propuesta de planificación al 22/09/2026; fechas y responsables por confirmar
Dependencias: T-038</t>
        </r>
      </text>
    </comment>
    <comment ref="B16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Revisar video, límites de archivo y recuperación de cargas. Entregar ficha actualizada, una prueba con el área y hasta tres mejoras priorizadas.
Fuente: Propuesta de planificación al 22/09/2026; fechas y responsables por confirmar
Dependencias: T-039</t>
        </r>
      </text>
    </comment>
    <comment ref="B17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Validar altas de colaboradores, solicitudes y revisión; sin incorporar expedientes de candidatos. Entregar ficha actualizada, una prueba con el área y hasta tres mejoras priorizadas.
Fuente: Propuesta de planificación al 22/09/2026; fechas y responsables por confirmar
Dependencias: T-040</t>
        </r>
      </text>
    </comment>
    <comment ref="B18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Verificar ficha, contrato y reportes laborales; sin planillas ni pagos. Entregar ficha actualizada, una prueba con el área y hasta tres mejoras priorizadas.
Fuente: Propuesta de planificación al 22/09/2026; fechas y responsables por confirmar
Dependencias: T-041</t>
        </r>
      </text>
    </comment>
    <comment ref="B19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Consolidar las diez áreas, cambios aceptados y propuestas elegidas para noviembre.
Fuente: Propuesta de planificación al 22/09/2026; fechas y responsables por confirmar
Dependencias: T-042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KJA</author>
  </authors>
  <commentList>
    <comment ref="B9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Acta de accesos propios/ajenos; corregir hallazgos críticos y revalidar.
Fuente: Propuesta de planificación al 22/09/2026; fechas y responsables por confirmar
Dependencias: T-043</t>
        </r>
      </text>
    </comment>
    <comment ref="B10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Cerrar hallazgos priorizados de teclado, contraste, foco y pantallas pequeñas.
Fuente: Propuesta de planificación al 22/09/2026; fechas y responsables por confirmar
Dependencias: T-044</t>
        </r>
      </text>
    </comment>
    <comment ref="B1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Medición p95 reproducible antes/después; optimizar consultas o archivos según evidencia.
Fuente: Propuesta de planificación al 22/09/2026; fechas y responsables por confirmar
Dependencias: T-045</t>
        </r>
      </text>
    </comment>
    <comment ref="B1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Probar versiones, cancelación y reintentos de Storage con dos áreas piloto.
Fuente: Propuesta de planificación al 22/09/2026; fechas y responsables por confirmar
Dependencias: T-046</t>
        </r>
      </text>
    </comment>
    <comment ref="B1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Resultados trazables para virtual, presencial, J, excepciones y Facebook sin jornada.
Fuente: Propuesta de planificación al 22/09/2026; fechas y responsables por confirmar
Dependencias: T-047</t>
        </r>
      </text>
    </comment>
    <comment ref="B1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Probar privacidad, lectura, imágenes, reintento y cierre de sesión.
Fuente: Propuesta de planificación al 22/09/2026; fechas y responsables por confirmar
Dependencias: T-048</t>
        </r>
      </text>
    </comment>
    <comment ref="B15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Probar borradores, cuota, revisión y resultado incierto; una publicación real requiere autorización aparte.
Fuente: Propuesta de planificación al 22/09/2026; fechas y responsables por confirmar
Dependencias: T-049</t>
        </r>
      </text>
    </comment>
    <comment ref="B16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Demostración de mejoras, defectos pendientes y alcance de aceptación de diciembre.
Fuente: Propuesta de planificación al 22/09/2026; fechas y responsables por confirmar
Dependencias: T-050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KJA</author>
  </authors>
  <commentList>
    <comment ref="B9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Política ratificada y ensayo de recuperación con RPO/RTO medidos.
Fuente: Propuesta de planificación al 22/09/2026; fechas y responsables por confirmar
Dependencias: T-051</t>
        </r>
      </text>
    </comment>
    <comment ref="B10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Guías breves de acceso, marcado, cierre, revisión y soporte.
Fuente: Propuesta de planificación al 22/09/2026; fechas y responsables por confirmar
Dependencias: T-052</t>
        </r>
      </text>
    </comment>
    <comment ref="B1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Un acta por área con escenarios propios y pendientes.
Fuente: Propuesta de planificación al 22/09/2026; fechas y responsables por confirmar
Dependencias: T-053</t>
        </r>
      </text>
    </comment>
    <comment ref="B1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Validar fichas, permisos, solicitudes y reportes según rol.
Fuente: Propuesta de planificación al 22/09/2026; fechas y responsables por confirmar
Dependencias: T-054</t>
        </r>
      </text>
    </comment>
    <comment ref="B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Validar agenda, archivos, revisión y flujos permitidos por área.
Fuente: Propuesta de planificación al 22/09/2026; fechas y responsables por confirmar
Dependencias: T-055</t>
        </r>
      </text>
    </comment>
    <comment ref="B1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Cerrar fallos críticos; evidenciar compatibilidad y resultados por rol.
Fuente: Propuesta de planificación al 22/09/2026; fechas y responsables por confirmar
Dependencias: T-056</t>
        </r>
      </text>
    </comment>
    <comment ref="B15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RF/RNF, H.U., CU, secuencias y matriz reflejan lo aceptado; registrar pendientes.
Fuente: Propuesta de planificación al 22/09/2026; fechas y responsables por confirmar
Dependencias: T-057</t>
        </r>
      </text>
    </comment>
    <comment ref="B16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Indicadores de uso/errores y backlog siguiente sin compromisos no acordados.
Fuente: Propuesta de planificación al 22/09/2026; fechas y responsables por confirmar
Dependencias: T-058</t>
        </r>
      </text>
    </comment>
    <comment ref="B1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Acta de aceptación, pendientes, responsables y propuesta de Sprint 5 enero 2027.
Fuente: Propuesta de planificación al 22/09/2026; fechas y responsables por confirmar
Dependencias: T-059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KJA</author>
  </authors>
  <commentList>
    <comment ref="J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9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0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2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3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5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6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7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8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19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0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1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2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3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4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5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6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7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8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29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0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1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2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3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4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5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6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7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8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39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0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1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2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3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4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5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6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7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8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49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0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1" authorId="0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2" authorId="0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3" authorId="0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4" authorId="0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5" authorId="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6" authorId="0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7" authorId="0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8" authorId="0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59" authorId="0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60" authorId="0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61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62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63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  <comment ref="J64" authorId="0" shapeId="0" xr:uid="{00000000-0006-0000-0600-00003C000000}">
      <text>
        <r>
          <rPr>
            <sz val="11"/>
            <color theme="1"/>
            <rFont val="Calibri"/>
            <family val="2"/>
            <scheme val="minor"/>
          </rPr>
          <t>Fechas con evidencia separadas por coma, en formato AAAA-MM-DD. No rellenar huecos entre commits.</t>
        </r>
      </text>
    </comment>
  </commentList>
</comments>
</file>

<file path=xl/sharedStrings.xml><?xml version="1.0" encoding="utf-8"?>
<sst xmlns="http://schemas.openxmlformats.org/spreadsheetml/2006/main" count="1146" uniqueCount="412">
  <si>
    <t>KJA | GANTT Y SPRINTS MENSUALES</t>
  </si>
  <si>
    <t>Periodo</t>
  </si>
  <si>
    <t>Antecedente: 28/08/2026. Sprint 1: septiembre; Sprint 2: octubre; Sprint 3: noviembre; Sprint 4: diciembre de 2026.</t>
  </si>
  <si>
    <t>Corte histórico</t>
  </si>
  <si>
    <t>22/09/2026. El despliegue inicial del 28/08 consta en docs/dashboard-base.md y en el commit d189536.</t>
  </si>
  <si>
    <t>Cómo leer el Gantt</t>
  </si>
  <si>
    <t>R = día con registro Git; D = despliegue documentado; L = documento local; P = día propuesto. Los colores agrupan H.U.; las letras distinguen evidencia y planificación.</t>
  </si>
  <si>
    <t>Duración</t>
  </si>
  <si>
    <t>Número de días marcados por tarea. En el histórico son días con evidencia, no esfuerzo ni dedicación continua. No sumar estas duraciones como duración total del proyecto.</t>
  </si>
  <si>
    <t>Responsables</t>
  </si>
  <si>
    <t>Histórico: nombres tal como aparecen en Git, sin atribuirles responsabilidad contractual. Propuestas: roles pendientes de asignación nominal.</t>
  </si>
  <si>
    <t>Historias de usuario</t>
  </si>
  <si>
    <t>HU-G01–HU-G12 son agrupaciones propuestas para este cronograma; no sustituyen H.U. aprobadas ni prueban que existieran en esas fechas.</t>
  </si>
  <si>
    <t>Todas las áreas</t>
  </si>
  <si>
    <t>Se incluyen las 10 áreas de las semillas SQL. Dirección y Sistemas participan transversalmente. Confirmar catálogo vigente: no se consultó la base remota.</t>
  </si>
  <si>
    <t>Calendario</t>
  </si>
  <si>
    <t>Propuestas de lunes a viernes; exclusiones iniciales por confirmar: 08/10, 08/12, 09/12 y 25/12. Editar Laborable en CALENDARIO. El histórico conserva registros de fines de semana.</t>
  </si>
  <si>
    <t>Actualizar</t>
  </si>
  <si>
    <t>Editar filas existentes en TAREAS: fechas, responsable, tarea, naturaleza y evidencias. La duración y las barras se recalculan. Editar CALENDARIO modifica días propuestos.</t>
  </si>
  <si>
    <t>Cambiar de sprint o agregar filas</t>
  </si>
  <si>
    <t>Las pestañas contienen la selección inicial por mes. Al agregar una tarea o cambiarla de mes, actualizar también su fila y fórmulas en la pestaña de destino.</t>
  </si>
  <si>
    <t>Límite del plan</t>
  </si>
  <si>
    <t>Las fechas futuras son propuestas; no son trabajo terminado ni autorización para desplegar o publicar. El plan usa un frente principal de Sistemas y debe ajustarse a la capacidad real.</t>
  </si>
  <si>
    <t>Evidencia</t>
  </si>
  <si>
    <t>TAREAS conserva fuente/commit, fechas de registro, RF relacionados, dependencias y criterio de salida. Registro Git no prueba un despliegue ni una prueba funcional aprobada.</t>
  </si>
  <si>
    <t>Sprint</t>
  </si>
  <si>
    <t>Mes</t>
  </si>
  <si>
    <t>Objetivo</t>
  </si>
  <si>
    <t>Tareas</t>
  </si>
  <si>
    <t>Registros</t>
  </si>
  <si>
    <t>Propuestas</t>
  </si>
  <si>
    <t>Inicio</t>
  </si>
  <si>
    <t>Fin</t>
  </si>
  <si>
    <t>Antecedente</t>
  </si>
  <si>
    <t>Agosto</t>
  </si>
  <si>
    <t>Puesta en marcha</t>
  </si>
  <si>
    <t>Sprint 1</t>
  </si>
  <si>
    <t>Septiembre</t>
  </si>
  <si>
    <t>Consolidar y documentar</t>
  </si>
  <si>
    <t>Sprint 2</t>
  </si>
  <si>
    <t>Octubre</t>
  </si>
  <si>
    <t>Actualizar las diez áreas</t>
  </si>
  <si>
    <t>Sprint 3</t>
  </si>
  <si>
    <t>Noviembre</t>
  </si>
  <si>
    <t>Implementar mejoras priorizadas</t>
  </si>
  <si>
    <t>Sprint 4</t>
  </si>
  <si>
    <t>Diciembre</t>
  </si>
  <si>
    <t>Validar, capacitar y cerrar</t>
  </si>
  <si>
    <t>ANTECEDENTE · AGOSTO 2026 | GANTT</t>
  </si>
  <si>
    <t>Puesta en marcha · Corte histórico: 22/09/2026 · Fechas futuras propuestas</t>
  </si>
  <si>
    <t>R registro Git   ·   D despliegue documentado   ·   L documento local   ·   P propuesta   |   Duración = días marcados, no horas de esfuerzo</t>
  </si>
  <si>
    <t>Editar TAREAS para actualizar fechas y contenido. HU-G son agrupaciones propuestas; responsables futuros pendientes de confirmación.</t>
  </si>
  <si>
    <t>Historia de usuario propuesta</t>
  </si>
  <si>
    <t>Tarea / entregable</t>
  </si>
  <si>
    <t>Responsable / autor</t>
  </si>
  <si>
    <t>Días</t>
  </si>
  <si>
    <t>V</t>
  </si>
  <si>
    <t>S</t>
  </si>
  <si>
    <t>D</t>
  </si>
  <si>
    <t>L</t>
  </si>
  <si>
    <t>SPRINT 1 · SEPTIEMBRE 2026 | GANTT</t>
  </si>
  <si>
    <t>Consolidar y documentar · Corte histórico: 22/09/2026 · Fechas futuras propuestas</t>
  </si>
  <si>
    <t>M</t>
  </si>
  <si>
    <t>X</t>
  </si>
  <si>
    <t>J</t>
  </si>
  <si>
    <t>SPRINT 2 · OCTUBRE 2026 | GANTT</t>
  </si>
  <si>
    <t>Actualizar las diez áreas · Corte histórico: 22/09/2026 · Fechas futuras propuestas</t>
  </si>
  <si>
    <t>SPRINT 3 · NOVIEMBRE 2026 | GANTT</t>
  </si>
  <si>
    <t>Implementar mejoras priorizadas · Corte histórico: 22/09/2026 · Fechas futuras propuestas</t>
  </si>
  <si>
    <t>SPRINT 4 · DICIEMBRE 2026 | GANTT</t>
  </si>
  <si>
    <t>Validar, capacitar y cerrar · Corte histórico: 22/09/2026 · Fechas futuras propuestas</t>
  </si>
  <si>
    <t>TAREAS | Fuente editable del cronograma</t>
  </si>
  <si>
    <t>Fechas futuras: propuesta. Fechas Git: registro, no inicio real ni esfuerzo. Las dependencias se revisan en la columna L.</t>
  </si>
  <si>
    <t>ID</t>
  </si>
  <si>
    <t>H.U. propuesta</t>
  </si>
  <si>
    <t>Tarea</t>
  </si>
  <si>
    <t>Área</t>
  </si>
  <si>
    <t>Naturaleza</t>
  </si>
  <si>
    <t>Días de registro (ISO)</t>
  </si>
  <si>
    <t>RF / RNF</t>
  </si>
  <si>
    <t>Dependencias</t>
  </si>
  <si>
    <t>Criterio de salida / nota</t>
  </si>
  <si>
    <t>Fuente / evidencia</t>
  </si>
  <si>
    <t>T-001</t>
  </si>
  <si>
    <t>HU-G01 · Como colaborador, quiero acceder al portal y consultar mi asistencia.</t>
  </si>
  <si>
    <t>Acceso, permisos e integración inicial del dashboard</t>
  </si>
  <si>
    <t>Transversal</t>
  </si>
  <si>
    <t>yeiserDev</t>
  </si>
  <si>
    <t>Registro Git</t>
  </si>
  <si>
    <t>2026-08-28</t>
  </si>
  <si>
    <t>RF-001–RF-014, RF-049–RF-070</t>
  </si>
  <si>
    <t>Consultar el commit y la guía de despliegue; no deducir la duración de desarrollo.</t>
  </si>
  <si>
    <t>3788de4 | 2026-08-28T09:57:29-05:00 | feat(dashboard): asegurar acceso y permisos por rol; d189536 | 2026-08-28T09:58:34-05:00 | feat(dashboard): publicar portal de asistencia</t>
  </si>
  <si>
    <t>T-002</t>
  </si>
  <si>
    <t>Hito: despliegue inicial del portal documentado</t>
  </si>
  <si>
    <t>Por confirmar</t>
  </si>
  <si>
    <t>Despliegue documentado</t>
  </si>
  <si>
    <t>RF-062</t>
  </si>
  <si>
    <t>La guía declara producción el 28/08/2026; no se vuelve a verificar el entorno remoto.</t>
  </si>
  <si>
    <t>docs/dashboard-base.md, encabezado Estado; commit d189536</t>
  </si>
  <si>
    <t>T-003</t>
  </si>
  <si>
    <t>HU-G03 · Como colaborador, quiero gestionar mi perfil y mis solicitudes.</t>
  </si>
  <si>
    <t>Fotografía privada, avatar y mejora del ingreso</t>
  </si>
  <si>
    <t>RF-127, RNF-024</t>
  </si>
  <si>
    <t>Revisar archivos incorporados y separar mejora de código de medición de rendimiento.</t>
  </si>
  <si>
    <t>0f25307 | 2026-08-28T15:36:47-05:00 | feat(dashboard): habilitar fotos privadas de perfil; 24e8bb1 | 2026-08-28T15:36:58-05:00 | feat(dashboard): gestionar foto de cada integrante; fd0bfe6 | 2026-08-28T18:32:02-05:00 | perf(dashboard): acelerar ingreso de colaboradores</t>
  </si>
  <si>
    <t>T-004</t>
  </si>
  <si>
    <t>HU-G02 · Como colaborador, quiero registrar mi jornada según modalidad y ubicación.</t>
  </si>
  <si>
    <t>Marcado seguro, geocerca y mapa de oficina</t>
  </si>
  <si>
    <t>2026-09-01</t>
  </si>
  <si>
    <t>RF-025–RF-040, RF-126, RF-130–RF-131</t>
  </si>
  <si>
    <t>Cambios registrados el 01/09; permisos y geocerca requieren su prueba de aceptación.</t>
  </si>
  <si>
    <t>952eb39 | 2026-09-01T11:23:57-05:00 | feat(dashboard): renovar asistencia y proteger el marcado; 6b8b602 | 2026-09-01T14:55:32-05:00 | feat(asistencia): agregar mapa administrable para la oficina; 6989792 | 2026-09-01T15:16:20-05:00 | feat(asistencia): mostrar ruta presencial en el marcado</t>
  </si>
  <si>
    <t>T-005</t>
  </si>
  <si>
    <t>Acceso móvil y experiencia del panel administrativo</t>
  </si>
  <si>
    <t>jhony-abz, yeiserDev</t>
  </si>
  <si>
    <t>2026-09-01, 2026-09-02</t>
  </si>
  <si>
    <t>RF-016–RF-024, RF-064–RF-070</t>
  </si>
  <si>
    <t>Constancia de cambios en acceso y gestión del 01–02/09.</t>
  </si>
  <si>
    <t>f7d42dc | 2026-09-01T14:28:02-05:00 | feat(login): mejorar acceso y agregar prototipo visual; 474f477 | 2026-09-01T23:33:20-05:00 | UI Enhancements: Rediseño del login móvil (bottom sheet), modal de asistencia compacto y nuevo toggle de día/noche; 11047df | 2026-09-02T14:10:32-05:00 | feat(dashboard): mejora la experiencia del panel administrativo</t>
  </si>
  <si>
    <t>T-006</t>
  </si>
  <si>
    <t>Solicitudes personales, fotos y días libres</t>
  </si>
  <si>
    <t>2026-09-03</t>
  </si>
  <si>
    <t>RF-127–RF-129</t>
  </si>
  <si>
    <t>Verificar flujo personal y resolución administrativa en un entorno autorizado.</t>
  </si>
  <si>
    <t>02439f8 | 2026-09-03T13:16:03-05:00 | feat(database): habilitar solicitudes, fotos y dias libres; 6e3e60e | 2026-09-03T13:16:12-05:00 | feat(dashboard): integrar ambiente solicitudes fotos y descansos</t>
  </si>
  <si>
    <t>T-007</t>
  </si>
  <si>
    <t>HU-G04 · Como colaborador, quiero entregar evidencias y conocer el cierre de mi jornada.</t>
  </si>
  <si>
    <t>Cierre diario con evidencias y salida</t>
  </si>
  <si>
    <t>2026-09-07</t>
  </si>
  <si>
    <t>RF-132–RF-139</t>
  </si>
  <si>
    <t>Registro integrado el 07/09; esta fecha no representa el inicio de programación.</t>
  </si>
  <si>
    <t>4c25c26 | 2026-09-07T01:16:45-05:00 | feat(dashboard): completar cierre diario con evidencias</t>
  </si>
  <si>
    <t>T-008</t>
  </si>
  <si>
    <t>Corrección de evidencias y comprobante de Facebook</t>
  </si>
  <si>
    <t>RF-137, RF-144–RF-147</t>
  </si>
  <si>
    <t>Se registran corrección, comprobante y acceso a compartir por acción del usuario.</t>
  </si>
  <si>
    <t>9bb0c8c | 2026-09-07T10:18:33-05:00 | feat(dashboard): permitir corregir evidencias en jornada; e61a507 | 2026-09-07T11:04:16-05:00 | feat(dashboard): gestionar fotos de evidencias; a5aec29 | 2026-09-07T11:31:20-05:00 | feat(dashboard): mostrar comprobante de Facebook; 270d345 | 2026-09-07T11:57:46-05:00 | feat(dashboard): compartir evidencias por WhatsApp</t>
  </si>
  <si>
    <t>T-009</t>
  </si>
  <si>
    <t>HU-G05 · Como responsable, quiero asignar trabajo y supervisar el cumplimiento.</t>
  </si>
  <si>
    <t>Revisión, observaciones y notificaciones de evidencias</t>
  </si>
  <si>
    <t>2026-09-07, 2026-09-08, 2026-09-09</t>
  </si>
  <si>
    <t>RF-152–RF-156</t>
  </si>
  <si>
    <t>Días observados: 07, 08 y 09/09; no implica dedicación exclusiva durante todo el intervalo.</t>
  </si>
  <si>
    <t>8b87a46 | 2026-09-07T17:43:23-05:00 | feat(dashboard): registrar observaciones de revision; 2752fbf | 2026-09-08T00:49:27-05:00 | feat(dashboard): integrar horarios y notificaciones de evidencias; 306e00e | 2026-09-09T13:25:09-05:00 | feat(dashboard): mejora cierres horarios y notificaciones</t>
  </si>
  <si>
    <t>T-010</t>
  </si>
  <si>
    <t>Agenda Facebook independiente y vencimientos</t>
  </si>
  <si>
    <t>2026-09-10</t>
  </si>
  <si>
    <t>RF-144</t>
  </si>
  <si>
    <t>Verificar obligación independiente de asistencia y conservación de salida.</t>
  </si>
  <si>
    <t>843ea64 | 2026-09-10T13:46:08-05:00 | fix: separar jornada de horario de comparticiones; 15244f2 | 2026-09-10T13:50:31-05:00 | fix: marcar comparticiones vencidas como incompletas</t>
  </si>
  <si>
    <t>T-011</t>
  </si>
  <si>
    <t>Gestión operativa y roles</t>
  </si>
  <si>
    <t>2026-09-11</t>
  </si>
  <si>
    <t>RF-114–RF-125, RF-155</t>
  </si>
  <si>
    <t>Revisar roles y ámbito del área; el commit no acredita despliegue.</t>
  </si>
  <si>
    <t>ad6304a | 2026-09-11T23:38:46-05:00 | feat(dashboard): mejora gestion operativa y roles</t>
  </si>
  <si>
    <t>T-012</t>
  </si>
  <si>
    <t>HU-G07 · Como Marketing, quiero revisar y preparar publicaciones autorizadas.</t>
  </si>
  <si>
    <t>Activación técnica parcial de Marketing documentada</t>
  </si>
  <si>
    <t>Marketing</t>
  </si>
  <si>
    <t>2026-09-12</t>
  </si>
  <si>
    <t>RF-170–RF-175</t>
  </si>
  <si>
    <t>Guía registra OPTIONS 200 y POST sin sesión 401; no acredita extracción ni publicación real.</t>
  </si>
  <si>
    <t>docs/18-publicaciones-marketing.md, Activación pendiente (12/09/2026)</t>
  </si>
  <si>
    <t>T-013</t>
  </si>
  <si>
    <t>HU-G06 · Como usuario, quiero comunicarme con mi equipo y consultar avisos.</t>
  </si>
  <si>
    <t>Integración de chat privado y ajustes móviles</t>
  </si>
  <si>
    <t>2026-09-13</t>
  </si>
  <si>
    <t>RF-165–RF-169</t>
  </si>
  <si>
    <t>El código queda registrado el 13/09; no se presupone activación completa del chat.</t>
  </si>
  <si>
    <t>cfdac3d | 2026-09-13T11:52:29-05:00 | feat(portal): integrar chat privado, publicaciones y mejoras moviles; a324b3e | 2026-09-13T12:40:53-05:00 | fix(chat): compactar vista movil y evitar teclado automatico</t>
  </si>
  <si>
    <t>T-014</t>
  </si>
  <si>
    <t>Integración del editor de publicaciones</t>
  </si>
  <si>
    <t>Constancia del frontend y función en Git; validación externa pendiente.</t>
  </si>
  <si>
    <t>cfdac3d | 2026-09-13T11:52:29-05:00 | feat(portal): integrar chat privado, publicaciones y mejoras moviles</t>
  </si>
  <si>
    <t>T-015</t>
  </si>
  <si>
    <t>HU-G08 · Como Dirección, quiero consultar reportes y métricas explicables.</t>
  </si>
  <si>
    <t>Ranking mensual beta y detalle de métricas</t>
  </si>
  <si>
    <t>2026-09-14</t>
  </si>
  <si>
    <t>RF-157–RF-159</t>
  </si>
  <si>
    <t>Revisar fórmula provisional y simulación local de pesos.</t>
  </si>
  <si>
    <t>9fa90d0 | 2026-09-14T06:27:40-05:00 | feat(dashboard): agregar ranking mensual beta y compactar contratos y roles; be8c48f | 2026-09-14T11:04:52-05:00 | feat(ranking): mejorar modal de detalle, navegacion historica y diseno responsive</t>
  </si>
  <si>
    <t>T-016</t>
  </si>
  <si>
    <t>Corrección de espera y verificación de ubicación</t>
  </si>
  <si>
    <t>RF-039, RF-130</t>
  </si>
  <si>
    <t>Probar ubicación válida, denegada e imprecisa; registro de cambios del 14/09.</t>
  </si>
  <si>
    <t>49f9437 | 2026-09-14T08:40:46-05:00 | fix(asistencia): mejorar verificacion de ubicacion presencial; 7419211 | 2026-09-14T09:19:55-05:00 | feat(asistencia): admitir documentos en asignaciones y corregir espera de ubicacion</t>
  </si>
  <si>
    <t>T-017</t>
  </si>
  <si>
    <t>Asignaciones con documentos, panel y retiro de archivos</t>
  </si>
  <si>
    <t>RF-138, RF-148–RF-153</t>
  </si>
  <si>
    <t>Verificar documentos permitidos, canceladas y recuperación del borrado.</t>
  </si>
  <si>
    <t>7419211 | 2026-09-14T09:19:55-05:00 | feat(asistencia): admitir documentos en asignaciones y corregir espera de ubicacion; d736789 | 2026-09-14T11:40:13-05:00 | feat(asignaciones): agregar panel de seguimiento y buscador; 60fb768 | 2026-09-14T17:39:02-05:00 | feat(asignaciones): admitir documentos administrativos y eliminar evidencias; 8d65580 | 2026-09-14T21:15:23-05:00 | fix(asignaciones): excluir canceladas de pendientes y revision</t>
  </si>
  <si>
    <t>T-018</t>
  </si>
  <si>
    <t>Chat con alertas, imágenes y sonido</t>
  </si>
  <si>
    <t>JhonyVX, yeiserDev</t>
  </si>
  <si>
    <t>2026-09-14, 2026-09-15</t>
  </si>
  <si>
    <t>Registros del 14 y 15/09; probar comunicación con dos cuentas autorizadas.</t>
  </si>
  <si>
    <t>d192f69 | 2026-09-14T11:30:14-05:00 | feat(chat): agrega alertas en tiempo real y bloqueo del scroll móvil; 8c0bfdd | 2026-09-14T21:15:39-05:00 | feat(portal): mejorar pendientes, imagenes del chat y comunicado; cbec54a | 2026-09-15T13:12:27-05:00 | feat(chat): mejora el sonido de las notificaciones</t>
  </si>
  <si>
    <t>T-019</t>
  </si>
  <si>
    <t>Respeto de jornadas justificadas</t>
  </si>
  <si>
    <t>2026-09-15</t>
  </si>
  <si>
    <t>RF-143</t>
  </si>
  <si>
    <t>J conserva registros y Facebook solo aplica según agenda.</t>
  </si>
  <si>
    <t>1dd2ad5 | 2026-09-15T08:34:37-05:00 | fix: respetar jornadas justificadas en cierres y entregables</t>
  </si>
  <si>
    <t>T-020</t>
  </si>
  <si>
    <t>Preparación de comprobantes para WhatsApp</t>
  </si>
  <si>
    <t>2026-09-16</t>
  </si>
  <si>
    <t>RF-147</t>
  </si>
  <si>
    <t>Preparar comprobante sin envío automático a contactos.</t>
  </si>
  <si>
    <t>8d7ea4a | 2026-09-16T09:16:22-05:00 | feat: preparar comprobantes de comparticiones para WhatsApp</t>
  </si>
  <si>
    <t>T-021</t>
  </si>
  <si>
    <t>HU-G09 · Como equipo, queremos requisitos y planificación trazables.</t>
  </si>
  <si>
    <t>Primera documentación de secuencias administrativas</t>
  </si>
  <si>
    <t>RNF-079</t>
  </si>
  <si>
    <t>Conservar el commit documental como antecedente de la actualización posterior.</t>
  </si>
  <si>
    <t>2c13fe0 | 2026-09-16T09:16:33-05:00 | docs: agregar diagramas de secuencia de administracion</t>
  </si>
  <si>
    <t>T-022</t>
  </si>
  <si>
    <t>Reportes Facebook por áreas con Excel y PDF</t>
  </si>
  <si>
    <t>2026-09-17</t>
  </si>
  <si>
    <t>RF-160–RF-163</t>
  </si>
  <si>
    <t>Registro el 17/09 en Lima; no equivale a aceptación con datos reales.</t>
  </si>
  <si>
    <t>1cb45a3 | 2026-09-17T00:32:38-05:00 | feat: agregar reportes de Facebook con Excel y PDF por areas; 271bb95 | 2026-09-17T00:37:08-05:00 | test: esperar solicitud al verificar progreso de eliminacion</t>
  </si>
  <si>
    <t>T-023</t>
  </si>
  <si>
    <t>Estadísticas del panel y ajuste del periodo de salidas</t>
  </si>
  <si>
    <t>2026-09-18</t>
  </si>
  <si>
    <t>Distinguir ranking de cumplimiento y ranking del PDF por total de Sí.</t>
  </si>
  <si>
    <t>b254094 | 2026-09-18T23:12:35-05:00 | feat: renovar panel y ranking con estadisticas y corregir periodo de salidas</t>
  </si>
  <si>
    <t>T-024</t>
  </si>
  <si>
    <t>Exigir evidencia laboral antes de registrar salida</t>
  </si>
  <si>
    <t>2026-09-19</t>
  </si>
  <si>
    <t>RF-134–RF-136</t>
  </si>
  <si>
    <t>Verificar rechazo por requisitos pendientes y conservación de entrada.</t>
  </si>
  <si>
    <t>ee7555f | 2026-09-19T09:31:00-05:00 | fix: require work evidence before user exit</t>
  </si>
  <si>
    <t>T-025</t>
  </si>
  <si>
    <t>Ajustes de tema, tarjetas y experiencia de equipo</t>
  </si>
  <si>
    <t>2026-09-19, 2026-09-20</t>
  </si>
  <si>
    <t>RNF-038, RNF-041</t>
  </si>
  <si>
    <t>Días con cambios: 19 y 20/09; pendiente evaluación completa de accesibilidad.</t>
  </si>
  <si>
    <t>c31d0b9 | 2026-09-19T09:31:21-05:00 | feat: refine user dashboard glass theme and sidebar; accf585 | 2026-09-19T09:49:57-05:00 | style: compact mobile close cards and align statuses; dddf078 | 2026-09-20T00:18:21-05:00 | feat: refine dashboard theme and responsive team experience</t>
  </si>
  <si>
    <t>T-026</t>
  </si>
  <si>
    <t>Comunicados emergentes y carrusel del dashboard</t>
  </si>
  <si>
    <t>2026-09-21</t>
  </si>
  <si>
    <t>Por vincular: comunicado/carrusel</t>
  </si>
  <si>
    <t>Registrar posteriormente su RF y H.U. formal; no forzar una asociación inexistente.</t>
  </si>
  <si>
    <t>c2de35f | 2026-09-21T10:08:25-05:00 | feat: agregar sistema de anuncio emergente con flyer de comparticiones y logica de gestion; 0d868e6 | 2026-09-21T10:58:31-05:00 | feat(dashboard): agregar carrusel de comunicados; 3fcf72e | 2026-09-21T11:13:55-05:00 | feat(dashboard): integrar carrusel de comunicados</t>
  </si>
  <si>
    <t>T-027</t>
  </si>
  <si>
    <t>Excepción individual de cierre y RPE presencial</t>
  </si>
  <si>
    <t>RF-140–RF-143</t>
  </si>
  <si>
    <t>Aplicar fecha efectiva de política; preservar RPE histórico y reglas de otras personas.</t>
  </si>
  <si>
    <t>5dfcf5a | 2026-09-21T10:44:12-05:00 | fix: ajustar cierre de Alviery y mejorar botones de pendientes; cd33b15 | 2026-09-21T15:23:06-05:00 | feat(dashboard): excluir RPE en jornadas presenciales</t>
  </si>
  <si>
    <t>T-028</t>
  </si>
  <si>
    <t>Actualización de RF/RNF, 22 secuencias y matriz</t>
  </si>
  <si>
    <t>Documento local</t>
  </si>
  <si>
    <t>2026-09-22</t>
  </si>
  <si>
    <t>Existen 175 RF, 81 RNF y 22 secuencias; se verificó estructura, no aceptación funcional.</t>
  </si>
  <si>
    <t>docs/01-requerimientos-portal-asistencia.md; docs/20-diagramas-secuencia-administracion.md; docs/27-matriz-requerimientos.md</t>
  </si>
  <si>
    <t>T-029</t>
  </si>
  <si>
    <t>Revisar alcance, responsables y catálogo vigente de áreas</t>
  </si>
  <si>
    <t>Dirección + Sistemas</t>
  </si>
  <si>
    <t>Propuesta</t>
  </si>
  <si>
    <t>RF-079–RF-089, RNF-079</t>
  </si>
  <si>
    <t>Acta con áreas vigentes, dueño funcional por área y capacidad del equipo.</t>
  </si>
  <si>
    <t>Propuesta de planificación al 22/09/2026; fechas y responsables por confirmar</t>
  </si>
  <si>
    <t>T-030</t>
  </si>
  <si>
    <t>Formalizar H.U. y casos de uso; vincular al catálogo RF/RNF</t>
  </si>
  <si>
    <t>Sistemas + líderes</t>
  </si>
  <si>
    <t>H.U. priorizadas con criterios; cada propuesta HU-G queda confirmada, corregida o descartada.</t>
  </si>
  <si>
    <t>T-031</t>
  </si>
  <si>
    <t>HU-G11 · Como usuario, quiero mejoras de calidad y flujos confiables.</t>
  </si>
  <si>
    <t>Revisar despliegues pendientes y ejecutar pruebas críticas</t>
  </si>
  <si>
    <t>Sistemas + QA</t>
  </si>
  <si>
    <t>RNF-047, RNF-081</t>
  </si>
  <si>
    <t>Inventario SQL/Edge/frontend y acta de acceso, geocerca, cierre, excepciones y reportes.</t>
  </si>
  <si>
    <t>T-032</t>
  </si>
  <si>
    <t>Revisión y retrospectiva del Sprint 1; acordar octubre</t>
  </si>
  <si>
    <t>Dirección + equipo</t>
  </si>
  <si>
    <t>Backlog priorizado, pendientes visibles y capacidad confirmada para octubre.</t>
  </si>
  <si>
    <t>T-033</t>
  </si>
  <si>
    <t>HU-G10 · Como responsable de área, quiero actualizar equipo, horarios y necesidades.</t>
  </si>
  <si>
    <t>Revisar y actualizar configuración del área: Salud ocupacional</t>
  </si>
  <si>
    <t>Salud ocupacional</t>
  </si>
  <si>
    <t>Sistemas + responsable del área</t>
  </si>
  <si>
    <t>RF-079–RF-090, RF-114–RF-125, RF-148–RF-155</t>
  </si>
  <si>
    <t>Validar horarios/modalidad, evidencias y responsable de revisión. Entregar ficha actualizada, una prueba con el área y hasta tres mejoras priorizadas.</t>
  </si>
  <si>
    <t>T-034</t>
  </si>
  <si>
    <t>Revisar y actualizar configuración del área: Psicología organizacional</t>
  </si>
  <si>
    <t>Psicología organizacional</t>
  </si>
  <si>
    <t>Validar responsables, equipo y reglas de seguimiento. Entregar ficha actualizada, una prueba con el área y hasta tres mejoras priorizadas.</t>
  </si>
  <si>
    <t>T-035</t>
  </si>
  <si>
    <t>Revisar y actualizar configuración del área: Recursos Humanos</t>
  </si>
  <si>
    <t>Recursos Humanos</t>
  </si>
  <si>
    <t>Depurar altas/bajas, contratos, solicitudes y fichas. Entregar ficha actualizada, una prueba con el área y hasta tres mejoras priorizadas.</t>
  </si>
  <si>
    <t>T-036</t>
  </si>
  <si>
    <t>Revisar y actualizar configuración del área: Marketing</t>
  </si>
  <si>
    <t>Revisar agenda Facebook y permisos de borradores/publicación. Entregar ficha actualizada, una prueba con el área y hasta tres mejoras priorizadas.</t>
  </si>
  <si>
    <t>T-037</t>
  </si>
  <si>
    <t>Revisar y actualizar configuración del área: Ingeniería</t>
  </si>
  <si>
    <t>Ingeniería</t>
  </si>
  <si>
    <t>Revisar entregables documentales, asignaciones y revisión. Entregar ficha actualizada, una prueba con el área y hasta tres mejoras priorizadas.</t>
  </si>
  <si>
    <t>T-038</t>
  </si>
  <si>
    <t>Revisar y actualizar configuración del área: Diseño gráfico</t>
  </si>
  <si>
    <t>Diseño gráfico</t>
  </si>
  <si>
    <t>Acordar formatos, versiones y revisión de archivos gráficos. Entregar ficha actualizada, una prueba con el área y hasta tres mejoras priorizadas.</t>
  </si>
  <si>
    <t>T-039</t>
  </si>
  <si>
    <t>Revisar y actualizar configuración del área: Clínica</t>
  </si>
  <si>
    <t>Clínica</t>
  </si>
  <si>
    <t>Validar acceso mínimo y evidencias laborales sin datos de pacientes. Entregar ficha actualizada, una prueba con el área y hasta tres mejoras priorizadas.</t>
  </si>
  <si>
    <t>T-040</t>
  </si>
  <si>
    <t>Revisar y actualizar configuración del área: Audiovisuales</t>
  </si>
  <si>
    <t>Audiovisuales</t>
  </si>
  <si>
    <t>Revisar video, límites de archivo y recuperación de cargas. Entregar ficha actualizada, una prueba con el área y hasta tres mejoras priorizadas.</t>
  </si>
  <si>
    <t>T-041</t>
  </si>
  <si>
    <t>Revisar y actualizar configuración del área: Reclutamiento</t>
  </si>
  <si>
    <t>Reclutamiento</t>
  </si>
  <si>
    <t>Validar altas de colaboradores, solicitudes y revisión; sin incorporar expedientes de candidatos. Entregar ficha actualizada, una prueba con el área y hasta tres mejoras priorizadas.</t>
  </si>
  <si>
    <t>T-042</t>
  </si>
  <si>
    <t>Revisar y actualizar configuración del área: Contabilidad</t>
  </si>
  <si>
    <t>Contabilidad</t>
  </si>
  <si>
    <t>Verificar ficha, contrato y reportes laborales; sin planillas ni pagos. Entregar ficha actualizada, una prueba con el área y hasta tres mejoras priorizadas.</t>
  </si>
  <si>
    <t>T-043</t>
  </si>
  <si>
    <t>Revisión y retrospectiva del Sprint 2; priorizar mejoras</t>
  </si>
  <si>
    <t>Dirección + responsables</t>
  </si>
  <si>
    <t>Consolidar las diez áreas, cambios aceptados y propuestas elegidas para noviembre.</t>
  </si>
  <si>
    <t>T-044</t>
  </si>
  <si>
    <t>Auditar permisos, sesiones y aislamiento por rol</t>
  </si>
  <si>
    <t>RNF-001–RNF-012, RNF-064</t>
  </si>
  <si>
    <t>Acta de accesos propios/ajenos; corregir hallazgos críticos y revalidar.</t>
  </si>
  <si>
    <t>T-045</t>
  </si>
  <si>
    <t>Mejorar estados de error, accesibilidad y uso móvil</t>
  </si>
  <si>
    <t>Sistemas + Diseño gráfico</t>
  </si>
  <si>
    <t>RNF-035–RNF-042</t>
  </si>
  <si>
    <t>Cerrar hallazgos priorizados de teclado, contraste, foco y pantallas pequeñas.</t>
  </si>
  <si>
    <t>T-046</t>
  </si>
  <si>
    <t>Medir y optimizar carga, consultas e imágenes</t>
  </si>
  <si>
    <t>RNF-023–RNF-029</t>
  </si>
  <si>
    <t>Medición p95 reproducible antes/después; optimizar consultas o archivos según evidencia.</t>
  </si>
  <si>
    <t>T-047</t>
  </si>
  <si>
    <t>Mejorar asignaciones, revisión y recuperación de archivos</t>
  </si>
  <si>
    <t>RF-137–RF-139, RF-148–RF-154, RNF-070</t>
  </si>
  <si>
    <t>Probar versiones, cancelación y reintentos de Storage con dos áreas piloto.</t>
  </si>
  <si>
    <t>T-048</t>
  </si>
  <si>
    <t>Conciliar reportes y ranking con casos de todas las áreas</t>
  </si>
  <si>
    <t>Sistemas + Dirección</t>
  </si>
  <si>
    <t>RF-140–RF-163, RNF-069, RNF-077</t>
  </si>
  <si>
    <t>Resultados trazables para virtual, presencial, J, excepciones y Facebook sin jornada.</t>
  </si>
  <si>
    <t>T-049</t>
  </si>
  <si>
    <t>Validar chat y notificaciones con cuentas de prueba</t>
  </si>
  <si>
    <t>Sistemas + responsables</t>
  </si>
  <si>
    <t>RF-165–RF-169, RNF-071, RNF-073</t>
  </si>
  <si>
    <t>Probar privacidad, lectura, imágenes, reintento y cierre de sesión.</t>
  </si>
  <si>
    <t>T-050</t>
  </si>
  <si>
    <t>Validar Marketing en entorno de ensayo autorizado</t>
  </si>
  <si>
    <t>Sistemas + Marketing</t>
  </si>
  <si>
    <t>RF-170–RF-175, RNF-075–RNF-076</t>
  </si>
  <si>
    <t>Probar borradores, cuota, revisión y resultado incierto; una publicación real requiere autorización aparte.</t>
  </si>
  <si>
    <t>T-051</t>
  </si>
  <si>
    <t>Revisión y retrospectiva del Sprint 3</t>
  </si>
  <si>
    <t>Demostración de mejoras, defectos pendientes y alcance de aceptación de diciembre.</t>
  </si>
  <si>
    <t>T-052</t>
  </si>
  <si>
    <t>Definir retención, respaldo y procedimiento de recuperación</t>
  </si>
  <si>
    <t>RNF-015–RNF-017, RNF-030–RNF-034</t>
  </si>
  <si>
    <t>Política ratificada y ensayo de recuperación con RPO/RTO medidos.</t>
  </si>
  <si>
    <t>T-053</t>
  </si>
  <si>
    <t>HU-G12 · Como Dirección, quiero validar la adopción y priorizar el siguiente periodo.</t>
  </si>
  <si>
    <t>Preparar capacitación y guías por rol</t>
  </si>
  <si>
    <t>Sistemas + RR. HH.</t>
  </si>
  <si>
    <t>RNF-035, RNF-044</t>
  </si>
  <si>
    <t>Guías breves de acceso, marcado, cierre, revisión y soporte.</t>
  </si>
  <si>
    <t>T-054</t>
  </si>
  <si>
    <t>Aceptación con Salud ocupacional, Psicología y Clínica</t>
  </si>
  <si>
    <t>QA + responsables de área</t>
  </si>
  <si>
    <t>RF-025–RF-045, RF-132–RF-143</t>
  </si>
  <si>
    <t>Un acta por área con escenarios propios y pendientes.</t>
  </si>
  <si>
    <t>T-055</t>
  </si>
  <si>
    <t>Aceptación con RR. HH., Reclutamiento y Contabilidad</t>
  </si>
  <si>
    <t>RF-079–RF-099, RF-128–RF-129, RF-160–RF-164</t>
  </si>
  <si>
    <t>Validar fichas, permisos, solicitudes y reportes según rol.</t>
  </si>
  <si>
    <t>T-056</t>
  </si>
  <si>
    <t>Aceptación con Marketing, Ingeniería, Diseño y Audiovisuales</t>
  </si>
  <si>
    <t>RF-137–RF-139, RF-144–RF-153, RF-170–RF-175</t>
  </si>
  <si>
    <t>Validar agenda, archivos, revisión y flujos permitidos por área.</t>
  </si>
  <si>
    <t>T-057</t>
  </si>
  <si>
    <t>Corregir hallazgos y ejecutar regresión integral</t>
  </si>
  <si>
    <t>RNF-047, RNF-062, RNF-081</t>
  </si>
  <si>
    <t>Cerrar fallos críticos; evidenciar compatibilidad y resultados por rol.</t>
  </si>
  <si>
    <t>T-058</t>
  </si>
  <si>
    <t>Actualizar documentación, matriz y manual de operación</t>
  </si>
  <si>
    <t>RNF-044, RNF-079</t>
  </si>
  <si>
    <t>RF/RNF, H.U., CU, secuencias y matriz reflejan lo aceptado; registrar pendientes.</t>
  </si>
  <si>
    <t>T-059</t>
  </si>
  <si>
    <t>Revisar adopción y priorizar propuestas para enero</t>
  </si>
  <si>
    <t>RNF-051, RNF-079</t>
  </si>
  <si>
    <t>Indicadores de uso/errores y backlog siguiente sin compromisos no acordados.</t>
  </si>
  <si>
    <t>T-060</t>
  </si>
  <si>
    <t>Revisión y retrospectiva del Sprint 4; cierre anual</t>
  </si>
  <si>
    <t>Acta de aceptación, pendientes, responsables y propuesta de Sprint 5 enero 2027.</t>
  </si>
  <si>
    <t>CALENDARIO | Días propuestos de trabajo</t>
  </si>
  <si>
    <t>Fecha</t>
  </si>
  <si>
    <t>Día</t>
  </si>
  <si>
    <t>Laborable (1/0)</t>
  </si>
  <si>
    <t>Nota</t>
  </si>
  <si>
    <t>Viernes</t>
  </si>
  <si>
    <t>Día propuesto de trabajo</t>
  </si>
  <si>
    <t>Sábado</t>
  </si>
  <si>
    <t>Fin de semana</t>
  </si>
  <si>
    <t>Domingo</t>
  </si>
  <si>
    <t>Lunes</t>
  </si>
  <si>
    <t>Martes</t>
  </si>
  <si>
    <t>Miércoles</t>
  </si>
  <si>
    <t>Jueves</t>
  </si>
  <si>
    <t>Exclusión propuesta;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</si>
</sst>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dd/mm"/>
    <numFmt numFmtId="167" formatCode="0&quot; días&quot;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172B40"/>
      <name val="Calibri"/>
    </font>
    <font>
      <sz val="10"/>
      <color rgb="FF172B40"/>
      <name val="Calibri"/>
    </font>
    <font>
      <b/>
      <sz val="9"/>
      <color rgb="FF172B4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0F2F5"/>
      </patternFill>
    </fill>
    <fill>
      <patternFill patternType="solid">
        <fgColor rgb="FFFFFFFF"/>
      </patternFill>
    </fill>
    <fill>
      <patternFill patternType="solid">
        <fgColor rgb="FFDCE9F7"/>
      </patternFill>
    </fill>
    <fill>
      <patternFill patternType="solid">
        <fgColor rgb="FFF5F8FB"/>
      </patternFill>
    </fill>
    <fill>
      <patternFill patternType="solid">
        <fgColor rgb="FFDEE1E5"/>
      </patternFill>
    </fill>
    <fill>
      <patternFill patternType="solid">
        <fgColor rgb="FFF4CAB2"/>
      </patternFill>
    </fill>
    <fill>
      <patternFill patternType="solid">
        <fgColor rgb="FFECD0EA"/>
      </patternFill>
    </fill>
    <fill>
      <patternFill patternType="solid">
        <fgColor rgb="FFC9EDF6"/>
      </patternFill>
    </fill>
    <fill>
      <patternFill patternType="solid">
        <fgColor rgb="FFD9E8CC"/>
      </patternFill>
    </fill>
    <fill>
      <patternFill patternType="solid">
        <fgColor rgb="FFDAD7F4"/>
      </patternFill>
    </fill>
    <fill>
      <patternFill patternType="solid">
        <fgColor rgb="FFF9E8B1"/>
      </patternFill>
    </fill>
  </fills>
  <borders count="2">
    <border>
      <left/>
      <right/>
      <top/>
      <bottom/>
      <diagonal/>
    </border>
    <border>
      <left style="thin">
        <color rgb="FFB6C0CA"/>
      </left>
      <right style="thin">
        <color rgb="FFB6C0CA"/>
      </right>
      <top style="thin">
        <color rgb="FFB6C0CA"/>
      </top>
      <bottom style="thin">
        <color rgb="FFB6C0C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165" fontId="3" fillId="4" borderId="0" xfId="0" applyNumberFormat="1" applyFont="1" applyFill="1" applyAlignment="1">
      <alignment horizontal="left" vertical="center" wrapText="1"/>
    </xf>
    <xf numFmtId="166" fontId="4" fillId="5" borderId="0" xfId="0" applyNumberFormat="1" applyFont="1" applyFill="1" applyAlignment="1">
      <alignment horizontal="center" vertical="center" wrapText="1"/>
    </xf>
    <xf numFmtId="166" fontId="4" fillId="7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7" fontId="3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165" fontId="3" fillId="6" borderId="0" xfId="0" applyNumberFormat="1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38">
    <dxf>
      <fill>
        <patternFill patternType="solid">
          <fgColor rgb="FFECD0EA"/>
          <bgColor rgb="FFECD0EA"/>
        </patternFill>
      </fill>
    </dxf>
    <dxf>
      <fill>
        <patternFill patternType="solid">
          <fgColor rgb="FFF9E8B1"/>
          <bgColor rgb="FFF9E8B1"/>
        </patternFill>
      </fill>
    </dxf>
    <dxf>
      <fill>
        <patternFill patternType="solid">
          <fgColor rgb="FFECD0EA"/>
          <bgColor rgb="FFECD0EA"/>
        </patternFill>
      </fill>
    </dxf>
    <dxf>
      <fill>
        <patternFill patternType="solid">
          <fgColor rgb="FFDAD7F4"/>
          <bgColor rgb="FFDAD7F4"/>
        </patternFill>
      </fill>
    </dxf>
    <dxf>
      <fill>
        <patternFill patternType="solid">
          <fgColor rgb="FFF9E8B1"/>
          <bgColor rgb="FFF9E8B1"/>
        </patternFill>
      </fill>
    </dxf>
    <dxf>
      <fill>
        <patternFill patternType="solid">
          <fgColor rgb="FFDAD7F4"/>
          <bgColor rgb="FFDAD7F4"/>
        </patternFill>
      </fill>
    </dxf>
    <dxf>
      <fill>
        <patternFill patternType="solid">
          <fgColor rgb="FFECD0EA"/>
          <bgColor rgb="FFECD0EA"/>
        </patternFill>
      </fill>
    </dxf>
    <dxf>
      <fill>
        <patternFill patternType="solid">
          <fgColor rgb="FFF4CAB2"/>
          <bgColor rgb="FFF4CAB2"/>
        </patternFill>
      </fill>
    </dxf>
    <dxf>
      <fill>
        <patternFill patternType="solid">
          <fgColor rgb="FFF9E8B1"/>
          <bgColor rgb="FFF9E8B1"/>
        </patternFill>
      </fill>
    </dxf>
    <dxf>
      <fill>
        <patternFill patternType="solid">
          <fgColor rgb="FFC9EDF6"/>
          <bgColor rgb="FFC9EDF6"/>
        </patternFill>
      </fill>
    </dxf>
    <dxf>
      <fill>
        <patternFill patternType="solid">
          <fgColor rgb="FFDAD7F4"/>
          <bgColor rgb="FFDAD7F4"/>
        </patternFill>
      </fill>
    </dxf>
    <dxf>
      <fill>
        <patternFill patternType="solid">
          <fgColor rgb="FFECD0EA"/>
          <bgColor rgb="FFECD0EA"/>
        </patternFill>
      </fill>
    </dxf>
    <dxf>
      <fill>
        <patternFill patternType="solid">
          <fgColor rgb="FFD9E8CC"/>
          <bgColor rgb="FFD9E8CC"/>
        </patternFill>
      </fill>
    </dxf>
    <dxf>
      <fill>
        <patternFill patternType="solid">
          <fgColor rgb="FFECD0EA"/>
          <bgColor rgb="FFECD0EA"/>
        </patternFill>
      </fill>
    </dxf>
    <dxf>
      <fill>
        <patternFill patternType="solid">
          <fgColor rgb="FFDAD7F4"/>
          <bgColor rgb="FFDAD7F4"/>
        </patternFill>
      </fill>
    </dxf>
    <dxf>
      <fill>
        <patternFill patternType="solid">
          <fgColor rgb="FFECD0EA"/>
          <bgColor rgb="FFECD0EA"/>
        </patternFill>
      </fill>
    </dxf>
    <dxf>
      <fill>
        <patternFill patternType="solid">
          <fgColor rgb="FFD9E8CC"/>
          <bgColor rgb="FFD9E8CC"/>
        </patternFill>
      </fill>
    </dxf>
    <dxf>
      <fill>
        <patternFill patternType="solid">
          <fgColor rgb="FFF9E8B1"/>
          <bgColor rgb="FFF9E8B1"/>
        </patternFill>
      </fill>
    </dxf>
    <dxf>
      <fill>
        <patternFill patternType="solid">
          <fgColor rgb="FFF4CAB2"/>
          <bgColor rgb="FFF4CAB2"/>
        </patternFill>
      </fill>
    </dxf>
    <dxf>
      <fill>
        <patternFill patternType="solid">
          <fgColor rgb="FFD9E8CC"/>
          <bgColor rgb="FFD9E8CC"/>
        </patternFill>
      </fill>
    </dxf>
    <dxf>
      <fill>
        <patternFill patternType="solid">
          <fgColor rgb="FFC9EDF6"/>
          <bgColor rgb="FFC9EDF6"/>
        </patternFill>
      </fill>
    </dxf>
    <dxf>
      <fill>
        <patternFill patternType="solid">
          <fgColor rgb="FFECD0EA"/>
          <bgColor rgb="FFECD0EA"/>
        </patternFill>
      </fill>
    </dxf>
    <dxf>
      <fill>
        <patternFill patternType="solid">
          <fgColor rgb="FFD9E8CC"/>
          <bgColor rgb="FFD9E8CC"/>
        </patternFill>
      </fill>
    </dxf>
    <dxf>
      <fill>
        <patternFill patternType="solid">
          <fgColor rgb="FFF9E8B1"/>
          <bgColor rgb="FFF9E8B1"/>
        </patternFill>
      </fill>
    </dxf>
    <dxf>
      <fill>
        <patternFill patternType="solid">
          <fgColor rgb="FFDAD7F4"/>
          <bgColor rgb="FFDAD7F4"/>
        </patternFill>
      </fill>
    </dxf>
    <dxf>
      <fill>
        <patternFill patternType="solid">
          <fgColor rgb="FFC9EDF6"/>
          <bgColor rgb="FFC9EDF6"/>
        </patternFill>
      </fill>
    </dxf>
    <dxf>
      <fill>
        <patternFill patternType="solid">
          <fgColor rgb="FFF4CAB2"/>
          <bgColor rgb="FFF4CAB2"/>
        </patternFill>
      </fill>
    </dxf>
    <dxf>
      <fill>
        <patternFill patternType="solid">
          <fgColor rgb="FFF9E8B1"/>
          <bgColor rgb="FFF9E8B1"/>
        </patternFill>
      </fill>
    </dxf>
    <dxf>
      <fill>
        <patternFill patternType="solid">
          <fgColor rgb="FFF4CAB2"/>
          <bgColor rgb="FFF4CAB2"/>
        </patternFill>
      </fill>
    </dxf>
    <dxf>
      <fill>
        <patternFill patternType="solid">
          <fgColor rgb="FFDAD7F4"/>
          <bgColor rgb="FFDAD7F4"/>
        </patternFill>
      </fill>
    </dxf>
    <dxf>
      <fill>
        <patternFill patternType="solid">
          <fgColor rgb="FFD9E8CC"/>
          <bgColor rgb="FFD9E8CC"/>
        </patternFill>
      </fill>
    </dxf>
    <dxf>
      <fill>
        <patternFill patternType="solid">
          <fgColor rgb="FFDAD7F4"/>
          <bgColor rgb="FFDAD7F4"/>
        </patternFill>
      </fill>
    </dxf>
    <dxf>
      <fill>
        <patternFill patternType="solid">
          <fgColor rgb="FFD9E8CC"/>
          <bgColor rgb="FFD9E8CC"/>
        </patternFill>
      </fill>
    </dxf>
    <dxf>
      <fill>
        <patternFill patternType="solid">
          <fgColor rgb="FFECD0EA"/>
          <bgColor rgb="FFECD0EA"/>
        </patternFill>
      </fill>
    </dxf>
    <dxf>
      <fill>
        <patternFill patternType="solid">
          <fgColor rgb="FFF4CAB2"/>
          <bgColor rgb="FFF4CAB2"/>
        </patternFill>
      </fill>
    </dxf>
    <dxf>
      <fill>
        <patternFill patternType="solid">
          <fgColor rgb="FFC9EDF6"/>
          <bgColor rgb="FFC9EDF6"/>
        </patternFill>
      </fill>
    </dxf>
    <dxf>
      <fill>
        <patternFill patternType="solid">
          <fgColor rgb="FFECD0EA"/>
          <bgColor rgb="FFECD0EA"/>
        </patternFill>
      </fill>
    </dxf>
    <dxf>
      <fill>
        <patternFill patternType="solid">
          <fgColor rgb="FFF4CAB2"/>
          <bgColor rgb="FFF4CAB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showGridLines="0" zoomScale="8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18" customWidth="1"/>
    <col min="3" max="3" width="32" customWidth="1"/>
    <col min="4" max="4" width="12" customWidth="1"/>
    <col min="5" max="6" width="14" customWidth="1"/>
    <col min="7" max="8" width="16" customWidth="1"/>
  </cols>
  <sheetData>
    <row r="1" spans="1:8" ht="26.1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</row>
    <row r="2" spans="1:8" ht="14.1" customHeight="1" x14ac:dyDescent="0.25">
      <c r="A2" s="27"/>
      <c r="B2" s="27"/>
      <c r="C2" s="27"/>
      <c r="D2" s="27"/>
      <c r="E2" s="27"/>
      <c r="F2" s="27"/>
      <c r="G2" s="27"/>
      <c r="H2" s="27"/>
    </row>
    <row r="4" spans="1:8" ht="42.95" customHeight="1" x14ac:dyDescent="0.25">
      <c r="A4" s="1" t="s">
        <v>1</v>
      </c>
      <c r="B4" s="24" t="s">
        <v>2</v>
      </c>
      <c r="C4" s="24"/>
      <c r="D4" s="24"/>
      <c r="E4" s="24"/>
      <c r="F4" s="24"/>
      <c r="G4" s="24"/>
      <c r="H4" s="24"/>
    </row>
    <row r="5" spans="1:8" ht="42.95" customHeight="1" x14ac:dyDescent="0.25">
      <c r="A5" s="3" t="s">
        <v>3</v>
      </c>
      <c r="B5" s="25" t="s">
        <v>4</v>
      </c>
      <c r="C5" s="25"/>
      <c r="D5" s="25"/>
      <c r="E5" s="25"/>
      <c r="F5" s="25"/>
      <c r="G5" s="25"/>
      <c r="H5" s="25"/>
    </row>
    <row r="6" spans="1:8" ht="42.95" customHeight="1" x14ac:dyDescent="0.25">
      <c r="A6" s="1" t="s">
        <v>5</v>
      </c>
      <c r="B6" s="24" t="s">
        <v>6</v>
      </c>
      <c r="C6" s="24"/>
      <c r="D6" s="24"/>
      <c r="E6" s="24"/>
      <c r="F6" s="24"/>
      <c r="G6" s="24"/>
      <c r="H6" s="24"/>
    </row>
    <row r="7" spans="1:8" ht="42.95" customHeight="1" x14ac:dyDescent="0.25">
      <c r="A7" s="3" t="s">
        <v>7</v>
      </c>
      <c r="B7" s="25" t="s">
        <v>8</v>
      </c>
      <c r="C7" s="25"/>
      <c r="D7" s="25"/>
      <c r="E7" s="25"/>
      <c r="F7" s="25"/>
      <c r="G7" s="25"/>
      <c r="H7" s="25"/>
    </row>
    <row r="8" spans="1:8" ht="42.95" customHeight="1" x14ac:dyDescent="0.25">
      <c r="A8" s="1" t="s">
        <v>9</v>
      </c>
      <c r="B8" s="24" t="s">
        <v>10</v>
      </c>
      <c r="C8" s="24"/>
      <c r="D8" s="24"/>
      <c r="E8" s="24"/>
      <c r="F8" s="24"/>
      <c r="G8" s="24"/>
      <c r="H8" s="24"/>
    </row>
    <row r="9" spans="1:8" ht="42.95" customHeight="1" x14ac:dyDescent="0.25">
      <c r="A9" s="3" t="s">
        <v>11</v>
      </c>
      <c r="B9" s="25" t="s">
        <v>12</v>
      </c>
      <c r="C9" s="25"/>
      <c r="D9" s="25"/>
      <c r="E9" s="25"/>
      <c r="F9" s="25"/>
      <c r="G9" s="25"/>
      <c r="H9" s="25"/>
    </row>
    <row r="10" spans="1:8" ht="42.95" customHeight="1" x14ac:dyDescent="0.25">
      <c r="A10" s="1" t="s">
        <v>13</v>
      </c>
      <c r="B10" s="24" t="s">
        <v>14</v>
      </c>
      <c r="C10" s="24"/>
      <c r="D10" s="24"/>
      <c r="E10" s="24"/>
      <c r="F10" s="24"/>
      <c r="G10" s="24"/>
      <c r="H10" s="24"/>
    </row>
    <row r="11" spans="1:8" ht="42.95" customHeight="1" x14ac:dyDescent="0.25">
      <c r="A11" s="3" t="s">
        <v>15</v>
      </c>
      <c r="B11" s="25" t="s">
        <v>16</v>
      </c>
      <c r="C11" s="25"/>
      <c r="D11" s="25"/>
      <c r="E11" s="25"/>
      <c r="F11" s="25"/>
      <c r="G11" s="25"/>
      <c r="H11" s="25"/>
    </row>
    <row r="12" spans="1:8" ht="42.95" customHeight="1" x14ac:dyDescent="0.25">
      <c r="A12" s="1" t="s">
        <v>17</v>
      </c>
      <c r="B12" s="24" t="s">
        <v>18</v>
      </c>
      <c r="C12" s="24"/>
      <c r="D12" s="24"/>
      <c r="E12" s="24"/>
      <c r="F12" s="24"/>
      <c r="G12" s="24"/>
      <c r="H12" s="24"/>
    </row>
    <row r="13" spans="1:8" ht="42.95" customHeight="1" x14ac:dyDescent="0.25">
      <c r="A13" s="3" t="s">
        <v>19</v>
      </c>
      <c r="B13" s="25" t="s">
        <v>20</v>
      </c>
      <c r="C13" s="25"/>
      <c r="D13" s="25"/>
      <c r="E13" s="25"/>
      <c r="F13" s="25"/>
      <c r="G13" s="25"/>
      <c r="H13" s="25"/>
    </row>
    <row r="14" spans="1:8" ht="42.95" customHeight="1" x14ac:dyDescent="0.25">
      <c r="A14" s="1" t="s">
        <v>21</v>
      </c>
      <c r="B14" s="24" t="s">
        <v>22</v>
      </c>
      <c r="C14" s="24"/>
      <c r="D14" s="24"/>
      <c r="E14" s="24"/>
      <c r="F14" s="24"/>
      <c r="G14" s="24"/>
      <c r="H14" s="24"/>
    </row>
    <row r="15" spans="1:8" ht="42.95" customHeight="1" x14ac:dyDescent="0.25">
      <c r="A15" s="3" t="s">
        <v>23</v>
      </c>
      <c r="B15" s="25" t="s">
        <v>24</v>
      </c>
      <c r="C15" s="25"/>
      <c r="D15" s="25"/>
      <c r="E15" s="25"/>
      <c r="F15" s="25"/>
      <c r="G15" s="25"/>
      <c r="H15" s="25"/>
    </row>
    <row r="17" spans="1:8" x14ac:dyDescent="0.25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32</v>
      </c>
    </row>
    <row r="18" spans="1:8" ht="36.950000000000003" customHeight="1" x14ac:dyDescent="0.25">
      <c r="A18" s="4" t="s">
        <v>33</v>
      </c>
      <c r="B18" s="4" t="s">
        <v>34</v>
      </c>
      <c r="C18" s="4" t="s">
        <v>35</v>
      </c>
      <c r="D18" s="4">
        <f>COUNTIF(TAREAS!$B$5:$B$64,A18)</f>
        <v>3</v>
      </c>
      <c r="E18" s="4">
        <f>COUNTIFS(TAREAS!$B$5:$B$64,A18,TAREAS!$I$5:$I$64,"&lt;&gt;Propuesta")</f>
        <v>3</v>
      </c>
      <c r="F18" s="4">
        <f>COUNTIFS(TAREAS!$B$5:$B$64,A18,TAREAS!$I$5:$I$64,"Propuesta")</f>
        <v>0</v>
      </c>
      <c r="G18" s="6">
        <v>46262</v>
      </c>
      <c r="H18" s="6">
        <v>46265</v>
      </c>
    </row>
    <row r="19" spans="1:8" ht="36.950000000000003" customHeight="1" x14ac:dyDescent="0.25">
      <c r="A19" s="4" t="s">
        <v>36</v>
      </c>
      <c r="B19" s="4" t="s">
        <v>37</v>
      </c>
      <c r="C19" s="4" t="s">
        <v>38</v>
      </c>
      <c r="D19" s="4">
        <f>COUNTIF(TAREAS!$B$5:$B$64,A19)</f>
        <v>29</v>
      </c>
      <c r="E19" s="4">
        <f>COUNTIFS(TAREAS!$B$5:$B$64,A19,TAREAS!$I$5:$I$64,"&lt;&gt;Propuesta")</f>
        <v>25</v>
      </c>
      <c r="F19" s="4">
        <f>COUNTIFS(TAREAS!$B$5:$B$64,A19,TAREAS!$I$5:$I$64,"Propuesta")</f>
        <v>4</v>
      </c>
      <c r="G19" s="6">
        <v>46266</v>
      </c>
      <c r="H19" s="6">
        <v>46295</v>
      </c>
    </row>
    <row r="20" spans="1:8" ht="36.950000000000003" customHeight="1" x14ac:dyDescent="0.25">
      <c r="A20" s="4" t="s">
        <v>39</v>
      </c>
      <c r="B20" s="4" t="s">
        <v>40</v>
      </c>
      <c r="C20" s="4" t="s">
        <v>41</v>
      </c>
      <c r="D20" s="4">
        <f>COUNTIF(TAREAS!$B$5:$B$64,A20)</f>
        <v>11</v>
      </c>
      <c r="E20" s="4">
        <f>COUNTIFS(TAREAS!$B$5:$B$64,A20,TAREAS!$I$5:$I$64,"&lt;&gt;Propuesta")</f>
        <v>0</v>
      </c>
      <c r="F20" s="4">
        <f>COUNTIFS(TAREAS!$B$5:$B$64,A20,TAREAS!$I$5:$I$64,"Propuesta")</f>
        <v>11</v>
      </c>
      <c r="G20" s="6">
        <v>46296</v>
      </c>
      <c r="H20" s="6">
        <v>46326</v>
      </c>
    </row>
    <row r="21" spans="1:8" ht="36.950000000000003" customHeight="1" x14ac:dyDescent="0.25">
      <c r="A21" s="4" t="s">
        <v>42</v>
      </c>
      <c r="B21" s="4" t="s">
        <v>43</v>
      </c>
      <c r="C21" s="4" t="s">
        <v>44</v>
      </c>
      <c r="D21" s="4">
        <f>COUNTIF(TAREAS!$B$5:$B$64,A21)</f>
        <v>8</v>
      </c>
      <c r="E21" s="4">
        <f>COUNTIFS(TAREAS!$B$5:$B$64,A21,TAREAS!$I$5:$I$64,"&lt;&gt;Propuesta")</f>
        <v>0</v>
      </c>
      <c r="F21" s="4">
        <f>COUNTIFS(TAREAS!$B$5:$B$64,A21,TAREAS!$I$5:$I$64,"Propuesta")</f>
        <v>8</v>
      </c>
      <c r="G21" s="6">
        <v>46327</v>
      </c>
      <c r="H21" s="6">
        <v>46356</v>
      </c>
    </row>
    <row r="22" spans="1:8" ht="36.950000000000003" customHeight="1" x14ac:dyDescent="0.25">
      <c r="A22" s="4" t="s">
        <v>45</v>
      </c>
      <c r="B22" s="4" t="s">
        <v>46</v>
      </c>
      <c r="C22" s="4" t="s">
        <v>47</v>
      </c>
      <c r="D22" s="4">
        <f>COUNTIF(TAREAS!$B$5:$B$64,A22)</f>
        <v>9</v>
      </c>
      <c r="E22" s="4">
        <f>COUNTIFS(TAREAS!$B$5:$B$64,A22,TAREAS!$I$5:$I$64,"&lt;&gt;Propuesta")</f>
        <v>0</v>
      </c>
      <c r="F22" s="4">
        <f>COUNTIFS(TAREAS!$B$5:$B$64,A22,TAREAS!$I$5:$I$64,"Propuesta")</f>
        <v>9</v>
      </c>
      <c r="G22" s="6">
        <v>46357</v>
      </c>
      <c r="H22" s="6">
        <v>46387</v>
      </c>
    </row>
  </sheetData>
  <mergeCells count="13">
    <mergeCell ref="B15:H15"/>
    <mergeCell ref="B7:H7"/>
    <mergeCell ref="B10:H10"/>
    <mergeCell ref="B11:H11"/>
    <mergeCell ref="A1:H2"/>
    <mergeCell ref="B5:H5"/>
    <mergeCell ref="B8:H8"/>
    <mergeCell ref="B14:H14"/>
    <mergeCell ref="B9:H9"/>
    <mergeCell ref="B13:H13"/>
    <mergeCell ref="B4:H4"/>
    <mergeCell ref="B12:H12"/>
    <mergeCell ref="B6:H6"/>
  </mergeCells>
  <printOptions horizontalCentered="1"/>
  <pageMargins left="0.22" right="0.22" top="0.35" bottom="0.35" header="0.5" footer="0.5"/>
  <pageSetup paperSize="8" fitToHeight="0" orientation="landscape"/>
  <headerFooter>
    <oddFooter>&amp;C&amp;8 KJA · Planificación al 22/09/2026 ·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CAB2"/>
    <pageSetUpPr fitToPage="1"/>
  </sheetPr>
  <dimension ref="A1:H11"/>
  <sheetViews>
    <sheetView showGridLines="0" zoomScale="70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9" customWidth="1"/>
    <col min="2" max="2" width="59" customWidth="1"/>
    <col min="3" max="3" width="28" customWidth="1"/>
    <col min="4" max="4" width="11" customWidth="1"/>
    <col min="5" max="8" width="6" customWidth="1"/>
  </cols>
  <sheetData>
    <row r="1" spans="1:8" ht="24" customHeight="1" x14ac:dyDescent="0.25">
      <c r="A1" s="26" t="s">
        <v>48</v>
      </c>
      <c r="B1" s="27"/>
      <c r="C1" s="27"/>
      <c r="D1" s="27"/>
      <c r="E1" s="27"/>
      <c r="F1" s="27"/>
      <c r="G1" s="27"/>
      <c r="H1" s="27"/>
    </row>
    <row r="2" spans="1:8" ht="15.95" customHeight="1" x14ac:dyDescent="0.25">
      <c r="A2" s="27"/>
      <c r="B2" s="27"/>
      <c r="C2" s="27"/>
      <c r="D2" s="27"/>
      <c r="E2" s="27"/>
      <c r="F2" s="27"/>
      <c r="G2" s="27"/>
      <c r="H2" s="27"/>
    </row>
    <row r="3" spans="1:8" ht="23.1" customHeight="1" x14ac:dyDescent="0.25">
      <c r="A3" s="27" t="s">
        <v>49</v>
      </c>
      <c r="B3" s="27"/>
      <c r="C3" s="27"/>
      <c r="D3" s="27"/>
      <c r="E3" s="27"/>
      <c r="F3" s="27"/>
      <c r="G3" s="27"/>
      <c r="H3" s="27"/>
    </row>
    <row r="4" spans="1:8" ht="23.1" customHeight="1" x14ac:dyDescent="0.25">
      <c r="A4" s="27" t="s">
        <v>50</v>
      </c>
      <c r="B4" s="27"/>
      <c r="C4" s="27"/>
      <c r="D4" s="27"/>
      <c r="E4" s="27"/>
      <c r="F4" s="27"/>
      <c r="G4" s="27"/>
      <c r="H4" s="27"/>
    </row>
    <row r="5" spans="1:8" ht="21.95" customHeight="1" x14ac:dyDescent="0.25">
      <c r="A5" s="27" t="s">
        <v>51</v>
      </c>
      <c r="B5" s="27"/>
      <c r="C5" s="27"/>
      <c r="D5" s="27"/>
      <c r="E5" s="27"/>
      <c r="F5" s="27"/>
      <c r="G5" s="27"/>
      <c r="H5" s="27"/>
    </row>
    <row r="7" spans="1:8" ht="26.1" customHeight="1" x14ac:dyDescent="0.25">
      <c r="A7" s="28" t="s">
        <v>52</v>
      </c>
      <c r="B7" s="28" t="s">
        <v>53</v>
      </c>
      <c r="C7" s="28" t="s">
        <v>54</v>
      </c>
      <c r="D7" s="28" t="s">
        <v>55</v>
      </c>
      <c r="E7" s="7">
        <v>46262</v>
      </c>
      <c r="F7" s="8">
        <v>46263</v>
      </c>
      <c r="G7" s="8">
        <v>46264</v>
      </c>
      <c r="H7" s="7">
        <v>46265</v>
      </c>
    </row>
    <row r="8" spans="1:8" ht="18.95" customHeight="1" x14ac:dyDescent="0.25">
      <c r="A8" s="27"/>
      <c r="B8" s="27"/>
      <c r="C8" s="27"/>
      <c r="D8" s="27"/>
      <c r="E8" s="9" t="s">
        <v>56</v>
      </c>
      <c r="F8" s="10" t="s">
        <v>57</v>
      </c>
      <c r="G8" s="10" t="s">
        <v>58</v>
      </c>
      <c r="H8" s="9" t="s">
        <v>59</v>
      </c>
    </row>
    <row r="9" spans="1:8" ht="72" customHeight="1" x14ac:dyDescent="0.25">
      <c r="A9" s="11" t="str">
        <f>TAREAS!C5</f>
        <v>HU-G01 · Como colaborador, quiero acceder al portal y consultar mi asistencia.</v>
      </c>
      <c r="B9" s="12" t="str">
        <f>TAREAS!A5&amp;" · "&amp;TAREAS!D5</f>
        <v>T-001 · Acceso, permisos e integración inicial del dashboard</v>
      </c>
      <c r="C9" s="12" t="str">
        <f>TAREAS!F5</f>
        <v>yeiserDev</v>
      </c>
      <c r="D9" s="13">
        <f>COUNTIF(E9:H9,"R")+COUNTIF(E9:H9,"D")+COUNTIF(E9:H9,"L")+COUNTIF(E9:H9,"P")</f>
        <v>1</v>
      </c>
      <c r="E9" s="14" t="str">
        <f>IF(TAREAS!$I$5="Propuesta",IF(AND(E$7&gt;=TAREAS!$G$5,E$7&lt;=TAREAS!$H$5,CALENDARIO!$C$5=1),"P",""),IF(ISNUMBER(SEARCH(TEXT(E$7,"yyyy-mm-dd"),TAREAS!$J$5)),IF(TAREAS!$I$5="Registro Git","R",IF(TAREAS!$I$5="Despliegue documentado","D","L")),""))</f>
        <v>R</v>
      </c>
      <c r="F9" s="15" t="str">
        <f>IF(TAREAS!$I$5="Propuesta",IF(AND(F$7&gt;=TAREAS!$G$5,F$7&lt;=TAREAS!$H$5,CALENDARIO!$C$6=1),"P",""),IF(ISNUMBER(SEARCH(TEXT(F$7,"yyyy-mm-dd"),TAREAS!$J$5)),IF(TAREAS!$I$5="Registro Git","R",IF(TAREAS!$I$5="Despliegue documentado","D","L")),""))</f>
        <v/>
      </c>
      <c r="G9" s="15" t="str">
        <f>IF(TAREAS!$I$5="Propuesta",IF(AND(G$7&gt;=TAREAS!$G$5,G$7&lt;=TAREAS!$H$5,CALENDARIO!$C$7=1),"P",""),IF(ISNUMBER(SEARCH(TEXT(G$7,"yyyy-mm-dd"),TAREAS!$J$5)),IF(TAREAS!$I$5="Registro Git","R",IF(TAREAS!$I$5="Despliegue documentado","D","L")),""))</f>
        <v/>
      </c>
      <c r="H9" s="14" t="str">
        <f>IF(TAREAS!$I$5="Propuesta",IF(AND(H$7&gt;=TAREAS!$G$5,H$7&lt;=TAREAS!$H$5,CALENDARIO!$C$8=1),"P",""),IF(ISNUMBER(SEARCH(TEXT(H$7,"yyyy-mm-dd"),TAREAS!$J$5)),IF(TAREAS!$I$5="Registro Git","R",IF(TAREAS!$I$5="Despliegue documentado","D","L")),""))</f>
        <v/>
      </c>
    </row>
    <row r="10" spans="1:8" ht="72" customHeight="1" x14ac:dyDescent="0.25">
      <c r="A10" s="11" t="str">
        <f>TAREAS!C6</f>
        <v>HU-G01 · Como colaborador, quiero acceder al portal y consultar mi asistencia.</v>
      </c>
      <c r="B10" s="12" t="str">
        <f>TAREAS!A6&amp;" · "&amp;TAREAS!D6</f>
        <v>T-002 · Hito: despliegue inicial del portal documentado</v>
      </c>
      <c r="C10" s="12" t="str">
        <f>TAREAS!F6</f>
        <v>Por confirmar</v>
      </c>
      <c r="D10" s="13">
        <f>COUNTIF(E10:H10,"R")+COUNTIF(E10:H10,"D")+COUNTIF(E10:H10,"L")+COUNTIF(E10:H10,"P")</f>
        <v>1</v>
      </c>
      <c r="E10" s="14" t="str">
        <f>IF(TAREAS!$I$6="Propuesta",IF(AND(E$7&gt;=TAREAS!$G$6,E$7&lt;=TAREAS!$H$6,CALENDARIO!$C$5=1),"P",""),IF(ISNUMBER(SEARCH(TEXT(E$7,"yyyy-mm-dd"),TAREAS!$J$6)),IF(TAREAS!$I$6="Registro Git","R",IF(TAREAS!$I$6="Despliegue documentado","D","L")),""))</f>
        <v>D</v>
      </c>
      <c r="F10" s="15" t="str">
        <f>IF(TAREAS!$I$6="Propuesta",IF(AND(F$7&gt;=TAREAS!$G$6,F$7&lt;=TAREAS!$H$6,CALENDARIO!$C$6=1),"P",""),IF(ISNUMBER(SEARCH(TEXT(F$7,"yyyy-mm-dd"),TAREAS!$J$6)),IF(TAREAS!$I$6="Registro Git","R",IF(TAREAS!$I$6="Despliegue documentado","D","L")),""))</f>
        <v/>
      </c>
      <c r="G10" s="15" t="str">
        <f>IF(TAREAS!$I$6="Propuesta",IF(AND(G$7&gt;=TAREAS!$G$6,G$7&lt;=TAREAS!$H$6,CALENDARIO!$C$7=1),"P",""),IF(ISNUMBER(SEARCH(TEXT(G$7,"yyyy-mm-dd"),TAREAS!$J$6)),IF(TAREAS!$I$6="Registro Git","R",IF(TAREAS!$I$6="Despliegue documentado","D","L")),""))</f>
        <v/>
      </c>
      <c r="H10" s="14" t="str">
        <f>IF(TAREAS!$I$6="Propuesta",IF(AND(H$7&gt;=TAREAS!$G$6,H$7&lt;=TAREAS!$H$6,CALENDARIO!$C$8=1),"P",""),IF(ISNUMBER(SEARCH(TEXT(H$7,"yyyy-mm-dd"),TAREAS!$J$6)),IF(TAREAS!$I$6="Registro Git","R",IF(TAREAS!$I$6="Despliegue documentado","D","L")),""))</f>
        <v/>
      </c>
    </row>
    <row r="11" spans="1:8" ht="72" customHeight="1" x14ac:dyDescent="0.25">
      <c r="A11" s="16" t="str">
        <f>TAREAS!C7</f>
        <v>HU-G03 · Como colaborador, quiero gestionar mi perfil y mis solicitudes.</v>
      </c>
      <c r="B11" s="12" t="str">
        <f>TAREAS!A7&amp;" · "&amp;TAREAS!D7</f>
        <v>T-003 · Fotografía privada, avatar y mejora del ingreso</v>
      </c>
      <c r="C11" s="12" t="str">
        <f>TAREAS!F7</f>
        <v>yeiserDev</v>
      </c>
      <c r="D11" s="13">
        <f>COUNTIF(E11:H11,"R")+COUNTIF(E11:H11,"D")+COUNTIF(E11:H11,"L")+COUNTIF(E11:H11,"P")</f>
        <v>1</v>
      </c>
      <c r="E11" s="14" t="str">
        <f>IF(TAREAS!$I$7="Propuesta",IF(AND(E$7&gt;=TAREAS!$G$7,E$7&lt;=TAREAS!$H$7,CALENDARIO!$C$5=1),"P",""),IF(ISNUMBER(SEARCH(TEXT(E$7,"yyyy-mm-dd"),TAREAS!$J$7)),IF(TAREAS!$I$7="Registro Git","R",IF(TAREAS!$I$7="Despliegue documentado","D","L")),""))</f>
        <v>R</v>
      </c>
      <c r="F11" s="15" t="str">
        <f>IF(TAREAS!$I$7="Propuesta",IF(AND(F$7&gt;=TAREAS!$G$7,F$7&lt;=TAREAS!$H$7,CALENDARIO!$C$6=1),"P",""),IF(ISNUMBER(SEARCH(TEXT(F$7,"yyyy-mm-dd"),TAREAS!$J$7)),IF(TAREAS!$I$7="Registro Git","R",IF(TAREAS!$I$7="Despliegue documentado","D","L")),""))</f>
        <v/>
      </c>
      <c r="G11" s="15" t="str">
        <f>IF(TAREAS!$I$7="Propuesta",IF(AND(G$7&gt;=TAREAS!$G$7,G$7&lt;=TAREAS!$H$7,CALENDARIO!$C$7=1),"P",""),IF(ISNUMBER(SEARCH(TEXT(G$7,"yyyy-mm-dd"),TAREAS!$J$7)),IF(TAREAS!$I$7="Registro Git","R",IF(TAREAS!$I$7="Despliegue documentado","D","L")),""))</f>
        <v/>
      </c>
      <c r="H11" s="14" t="str">
        <f>IF(TAREAS!$I$7="Propuesta",IF(AND(H$7&gt;=TAREAS!$G$7,H$7&lt;=TAREAS!$H$7,CALENDARIO!$C$8=1),"P",""),IF(ISNUMBER(SEARCH(TEXT(H$7,"yyyy-mm-dd"),TAREAS!$J$7)),IF(TAREAS!$I$7="Registro Git","R",IF(TAREAS!$I$7="Despliegue documentado","D","L")),""))</f>
        <v/>
      </c>
    </row>
  </sheetData>
  <mergeCells count="8">
    <mergeCell ref="A1:H2"/>
    <mergeCell ref="A4:H4"/>
    <mergeCell ref="A3:H3"/>
    <mergeCell ref="C7:C8"/>
    <mergeCell ref="A7:A8"/>
    <mergeCell ref="B7:B8"/>
    <mergeCell ref="D7:D8"/>
    <mergeCell ref="A5:H5"/>
  </mergeCells>
  <conditionalFormatting sqref="E9:H10">
    <cfRule type="expression" dxfId="37" priority="1">
      <formula>E9&lt;&gt;""</formula>
    </cfRule>
  </conditionalFormatting>
  <conditionalFormatting sqref="E11:H11">
    <cfRule type="expression" dxfId="36" priority="3">
      <formula>E11&lt;&gt;""</formula>
    </cfRule>
  </conditionalFormatting>
  <printOptions horizontalCentered="1"/>
  <pageMargins left="0.22" right="0.22" top="0.35" bottom="0.35" header="0.5" footer="0.5"/>
  <pageSetup paperSize="8" fitToHeight="0" orientation="landscape"/>
  <headerFooter>
    <oddFooter>&amp;C&amp;8 KJA · Planificación al 22/09/2026 ·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EDF6"/>
    <pageSetUpPr fitToPage="1"/>
  </sheetPr>
  <dimension ref="A1:AH37"/>
  <sheetViews>
    <sheetView showGridLines="0" tabSelected="1" zoomScale="70" workbookViewId="0">
      <pane xSplit="4" ySplit="8" topLeftCell="E9" activePane="bottomRight" state="frozen"/>
      <selection pane="topRight"/>
      <selection pane="bottomLeft"/>
      <selection pane="bottomRight" sqref="A1:AH2"/>
    </sheetView>
  </sheetViews>
  <sheetFormatPr baseColWidth="10" defaultColWidth="9.140625" defaultRowHeight="15" x14ac:dyDescent="0.25"/>
  <cols>
    <col min="1" max="1" width="39" customWidth="1"/>
    <col min="2" max="2" width="59" customWidth="1"/>
    <col min="3" max="3" width="28" customWidth="1"/>
    <col min="4" max="4" width="11" customWidth="1"/>
    <col min="5" max="34" width="6" customWidth="1"/>
  </cols>
  <sheetData>
    <row r="1" spans="1:34" ht="24" customHeight="1" x14ac:dyDescent="0.25">
      <c r="A1" s="26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ht="15.9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4" ht="23.1" customHeight="1" x14ac:dyDescent="0.25">
      <c r="A3" s="27" t="s">
        <v>61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4" ht="23.1" customHeight="1" x14ac:dyDescent="0.25">
      <c r="A4" s="27" t="s">
        <v>50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spans="1:34" ht="21.95" customHeight="1" x14ac:dyDescent="0.25">
      <c r="A5" s="27" t="s">
        <v>51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7" spans="1:34" ht="26.1" customHeight="1" x14ac:dyDescent="0.25">
      <c r="A7" s="28" t="s">
        <v>52</v>
      </c>
      <c r="B7" s="28" t="s">
        <v>53</v>
      </c>
      <c r="C7" s="28" t="s">
        <v>54</v>
      </c>
      <c r="D7" s="28" t="s">
        <v>55</v>
      </c>
      <c r="E7" s="7">
        <v>46266</v>
      </c>
      <c r="F7" s="7">
        <v>46267</v>
      </c>
      <c r="G7" s="7">
        <v>46268</v>
      </c>
      <c r="H7" s="7">
        <v>46269</v>
      </c>
      <c r="I7" s="8">
        <v>46270</v>
      </c>
      <c r="J7" s="8">
        <v>46271</v>
      </c>
      <c r="K7" s="7">
        <v>46272</v>
      </c>
      <c r="L7" s="7">
        <v>46273</v>
      </c>
      <c r="M7" s="7">
        <v>46274</v>
      </c>
      <c r="N7" s="7">
        <v>46275</v>
      </c>
      <c r="O7" s="7">
        <v>46276</v>
      </c>
      <c r="P7" s="8">
        <v>46277</v>
      </c>
      <c r="Q7" s="8">
        <v>46278</v>
      </c>
      <c r="R7" s="7">
        <v>46279</v>
      </c>
      <c r="S7" s="7">
        <v>46280</v>
      </c>
      <c r="T7" s="7">
        <v>46281</v>
      </c>
      <c r="U7" s="7">
        <v>46282</v>
      </c>
      <c r="V7" s="7">
        <v>46283</v>
      </c>
      <c r="W7" s="8">
        <v>46284</v>
      </c>
      <c r="X7" s="8">
        <v>46285</v>
      </c>
      <c r="Y7" s="7">
        <v>46286</v>
      </c>
      <c r="Z7" s="7">
        <v>46287</v>
      </c>
      <c r="AA7" s="7">
        <v>46288</v>
      </c>
      <c r="AB7" s="7">
        <v>46289</v>
      </c>
      <c r="AC7" s="7">
        <v>46290</v>
      </c>
      <c r="AD7" s="8">
        <v>46291</v>
      </c>
      <c r="AE7" s="8">
        <v>46292</v>
      </c>
      <c r="AF7" s="7">
        <v>46293</v>
      </c>
      <c r="AG7" s="7">
        <v>46294</v>
      </c>
      <c r="AH7" s="7">
        <v>46295</v>
      </c>
    </row>
    <row r="8" spans="1:34" ht="18.95" customHeight="1" x14ac:dyDescent="0.25">
      <c r="A8" s="27"/>
      <c r="B8" s="27"/>
      <c r="C8" s="27"/>
      <c r="D8" s="27"/>
      <c r="E8" s="9" t="s">
        <v>62</v>
      </c>
      <c r="F8" s="9" t="s">
        <v>63</v>
      </c>
      <c r="G8" s="9" t="s">
        <v>64</v>
      </c>
      <c r="H8" s="9" t="s">
        <v>56</v>
      </c>
      <c r="I8" s="10" t="s">
        <v>57</v>
      </c>
      <c r="J8" s="10" t="s">
        <v>58</v>
      </c>
      <c r="K8" s="9" t="s">
        <v>59</v>
      </c>
      <c r="L8" s="9" t="s">
        <v>62</v>
      </c>
      <c r="M8" s="9" t="s">
        <v>63</v>
      </c>
      <c r="N8" s="9" t="s">
        <v>64</v>
      </c>
      <c r="O8" s="9" t="s">
        <v>56</v>
      </c>
      <c r="P8" s="10" t="s">
        <v>57</v>
      </c>
      <c r="Q8" s="10" t="s">
        <v>58</v>
      </c>
      <c r="R8" s="9" t="s">
        <v>59</v>
      </c>
      <c r="S8" s="9" t="s">
        <v>62</v>
      </c>
      <c r="T8" s="9" t="s">
        <v>63</v>
      </c>
      <c r="U8" s="9" t="s">
        <v>64</v>
      </c>
      <c r="V8" s="9" t="s">
        <v>56</v>
      </c>
      <c r="W8" s="10" t="s">
        <v>57</v>
      </c>
      <c r="X8" s="10" t="s">
        <v>58</v>
      </c>
      <c r="Y8" s="9" t="s">
        <v>59</v>
      </c>
      <c r="Z8" s="9" t="s">
        <v>62</v>
      </c>
      <c r="AA8" s="9" t="s">
        <v>63</v>
      </c>
      <c r="AB8" s="9" t="s">
        <v>64</v>
      </c>
      <c r="AC8" s="9" t="s">
        <v>56</v>
      </c>
      <c r="AD8" s="10" t="s">
        <v>57</v>
      </c>
      <c r="AE8" s="10" t="s">
        <v>58</v>
      </c>
      <c r="AF8" s="9" t="s">
        <v>59</v>
      </c>
      <c r="AG8" s="9" t="s">
        <v>62</v>
      </c>
      <c r="AH8" s="9" t="s">
        <v>63</v>
      </c>
    </row>
    <row r="9" spans="1:34" ht="72" customHeight="1" x14ac:dyDescent="0.25">
      <c r="A9" s="17" t="str">
        <f>TAREAS!C8</f>
        <v>HU-G02 · Como colaborador, quiero registrar mi jornada según modalidad y ubicación.</v>
      </c>
      <c r="B9" s="12" t="str">
        <f>TAREAS!A8&amp;" · "&amp;TAREAS!D8</f>
        <v>T-004 · Marcado seguro, geocerca y mapa de oficina</v>
      </c>
      <c r="C9" s="12" t="str">
        <f>TAREAS!F8</f>
        <v>yeiserDev</v>
      </c>
      <c r="D9" s="13">
        <f t="shared" ref="D9:D37" si="0">COUNTIF(E9:AH9,"R")+COUNTIF(E9:AH9,"D")+COUNTIF(E9:AH9,"L")+COUNTIF(E9:AH9,"P")</f>
        <v>1</v>
      </c>
      <c r="E9" s="14" t="str">
        <f>IF(TAREAS!$I$8="Propuesta",IF(AND(E$7&gt;=TAREAS!$G$8,E$7&lt;=TAREAS!$H$8,CALENDARIO!$C$9=1),"P",""),IF(ISNUMBER(SEARCH(TEXT(E$7,"yyyy-mm-dd"),TAREAS!$J$8)),IF(TAREAS!$I$8="Registro Git","R",IF(TAREAS!$I$8="Despliegue documentado","D","L")),""))</f>
        <v>R</v>
      </c>
      <c r="F9" s="14" t="str">
        <f>IF(TAREAS!$I$8="Propuesta",IF(AND(F$7&gt;=TAREAS!$G$8,F$7&lt;=TAREAS!$H$8,CALENDARIO!$C$10=1),"P",""),IF(ISNUMBER(SEARCH(TEXT(F$7,"yyyy-mm-dd"),TAREAS!$J$8)),IF(TAREAS!$I$8="Registro Git","R",IF(TAREAS!$I$8="Despliegue documentado","D","L")),""))</f>
        <v/>
      </c>
      <c r="G9" s="14" t="str">
        <f>IF(TAREAS!$I$8="Propuesta",IF(AND(G$7&gt;=TAREAS!$G$8,G$7&lt;=TAREAS!$H$8,CALENDARIO!$C$11=1),"P",""),IF(ISNUMBER(SEARCH(TEXT(G$7,"yyyy-mm-dd"),TAREAS!$J$8)),IF(TAREAS!$I$8="Registro Git","R",IF(TAREAS!$I$8="Despliegue documentado","D","L")),""))</f>
        <v/>
      </c>
      <c r="H9" s="14" t="str">
        <f>IF(TAREAS!$I$8="Propuesta",IF(AND(H$7&gt;=TAREAS!$G$8,H$7&lt;=TAREAS!$H$8,CALENDARIO!$C$12=1),"P",""),IF(ISNUMBER(SEARCH(TEXT(H$7,"yyyy-mm-dd"),TAREAS!$J$8)),IF(TAREAS!$I$8="Registro Git","R",IF(TAREAS!$I$8="Despliegue documentado","D","L")),""))</f>
        <v/>
      </c>
      <c r="I9" s="15" t="str">
        <f>IF(TAREAS!$I$8="Propuesta",IF(AND(I$7&gt;=TAREAS!$G$8,I$7&lt;=TAREAS!$H$8,CALENDARIO!$C$13=1),"P",""),IF(ISNUMBER(SEARCH(TEXT(I$7,"yyyy-mm-dd"),TAREAS!$J$8)),IF(TAREAS!$I$8="Registro Git","R",IF(TAREAS!$I$8="Despliegue documentado","D","L")),""))</f>
        <v/>
      </c>
      <c r="J9" s="15" t="str">
        <f>IF(TAREAS!$I$8="Propuesta",IF(AND(J$7&gt;=TAREAS!$G$8,J$7&lt;=TAREAS!$H$8,CALENDARIO!$C$14=1),"P",""),IF(ISNUMBER(SEARCH(TEXT(J$7,"yyyy-mm-dd"),TAREAS!$J$8)),IF(TAREAS!$I$8="Registro Git","R",IF(TAREAS!$I$8="Despliegue documentado","D","L")),""))</f>
        <v/>
      </c>
      <c r="K9" s="14" t="str">
        <f>IF(TAREAS!$I$8="Propuesta",IF(AND(K$7&gt;=TAREAS!$G$8,K$7&lt;=TAREAS!$H$8,CALENDARIO!$C$15=1),"P",""),IF(ISNUMBER(SEARCH(TEXT(K$7,"yyyy-mm-dd"),TAREAS!$J$8)),IF(TAREAS!$I$8="Registro Git","R",IF(TAREAS!$I$8="Despliegue documentado","D","L")),""))</f>
        <v/>
      </c>
      <c r="L9" s="14" t="str">
        <f>IF(TAREAS!$I$8="Propuesta",IF(AND(L$7&gt;=TAREAS!$G$8,L$7&lt;=TAREAS!$H$8,CALENDARIO!$C$16=1),"P",""),IF(ISNUMBER(SEARCH(TEXT(L$7,"yyyy-mm-dd"),TAREAS!$J$8)),IF(TAREAS!$I$8="Registro Git","R",IF(TAREAS!$I$8="Despliegue documentado","D","L")),""))</f>
        <v/>
      </c>
      <c r="M9" s="14" t="str">
        <f>IF(TAREAS!$I$8="Propuesta",IF(AND(M$7&gt;=TAREAS!$G$8,M$7&lt;=TAREAS!$H$8,CALENDARIO!$C$17=1),"P",""),IF(ISNUMBER(SEARCH(TEXT(M$7,"yyyy-mm-dd"),TAREAS!$J$8)),IF(TAREAS!$I$8="Registro Git","R",IF(TAREAS!$I$8="Despliegue documentado","D","L")),""))</f>
        <v/>
      </c>
      <c r="N9" s="14" t="str">
        <f>IF(TAREAS!$I$8="Propuesta",IF(AND(N$7&gt;=TAREAS!$G$8,N$7&lt;=TAREAS!$H$8,CALENDARIO!$C$18=1),"P",""),IF(ISNUMBER(SEARCH(TEXT(N$7,"yyyy-mm-dd"),TAREAS!$J$8)),IF(TAREAS!$I$8="Registro Git","R",IF(TAREAS!$I$8="Despliegue documentado","D","L")),""))</f>
        <v/>
      </c>
      <c r="O9" s="14" t="str">
        <f>IF(TAREAS!$I$8="Propuesta",IF(AND(O$7&gt;=TAREAS!$G$8,O$7&lt;=TAREAS!$H$8,CALENDARIO!$C$19=1),"P",""),IF(ISNUMBER(SEARCH(TEXT(O$7,"yyyy-mm-dd"),TAREAS!$J$8)),IF(TAREAS!$I$8="Registro Git","R",IF(TAREAS!$I$8="Despliegue documentado","D","L")),""))</f>
        <v/>
      </c>
      <c r="P9" s="15" t="str">
        <f>IF(TAREAS!$I$8="Propuesta",IF(AND(P$7&gt;=TAREAS!$G$8,P$7&lt;=TAREAS!$H$8,CALENDARIO!$C$20=1),"P",""),IF(ISNUMBER(SEARCH(TEXT(P$7,"yyyy-mm-dd"),TAREAS!$J$8)),IF(TAREAS!$I$8="Registro Git","R",IF(TAREAS!$I$8="Despliegue documentado","D","L")),""))</f>
        <v/>
      </c>
      <c r="Q9" s="15" t="str">
        <f>IF(TAREAS!$I$8="Propuesta",IF(AND(Q$7&gt;=TAREAS!$G$8,Q$7&lt;=TAREAS!$H$8,CALENDARIO!$C$21=1),"P",""),IF(ISNUMBER(SEARCH(TEXT(Q$7,"yyyy-mm-dd"),TAREAS!$J$8)),IF(TAREAS!$I$8="Registro Git","R",IF(TAREAS!$I$8="Despliegue documentado","D","L")),""))</f>
        <v/>
      </c>
      <c r="R9" s="14" t="str">
        <f>IF(TAREAS!$I$8="Propuesta",IF(AND(R$7&gt;=TAREAS!$G$8,R$7&lt;=TAREAS!$H$8,CALENDARIO!$C$22=1),"P",""),IF(ISNUMBER(SEARCH(TEXT(R$7,"yyyy-mm-dd"),TAREAS!$J$8)),IF(TAREAS!$I$8="Registro Git","R",IF(TAREAS!$I$8="Despliegue documentado","D","L")),""))</f>
        <v/>
      </c>
      <c r="S9" s="14" t="str">
        <f>IF(TAREAS!$I$8="Propuesta",IF(AND(S$7&gt;=TAREAS!$G$8,S$7&lt;=TAREAS!$H$8,CALENDARIO!$C$23=1),"P",""),IF(ISNUMBER(SEARCH(TEXT(S$7,"yyyy-mm-dd"),TAREAS!$J$8)),IF(TAREAS!$I$8="Registro Git","R",IF(TAREAS!$I$8="Despliegue documentado","D","L")),""))</f>
        <v/>
      </c>
      <c r="T9" s="14" t="str">
        <f>IF(TAREAS!$I$8="Propuesta",IF(AND(T$7&gt;=TAREAS!$G$8,T$7&lt;=TAREAS!$H$8,CALENDARIO!$C$24=1),"P",""),IF(ISNUMBER(SEARCH(TEXT(T$7,"yyyy-mm-dd"),TAREAS!$J$8)),IF(TAREAS!$I$8="Registro Git","R",IF(TAREAS!$I$8="Despliegue documentado","D","L")),""))</f>
        <v/>
      </c>
      <c r="U9" s="14" t="str">
        <f>IF(TAREAS!$I$8="Propuesta",IF(AND(U$7&gt;=TAREAS!$G$8,U$7&lt;=TAREAS!$H$8,CALENDARIO!$C$25=1),"P",""),IF(ISNUMBER(SEARCH(TEXT(U$7,"yyyy-mm-dd"),TAREAS!$J$8)),IF(TAREAS!$I$8="Registro Git","R",IF(TAREAS!$I$8="Despliegue documentado","D","L")),""))</f>
        <v/>
      </c>
      <c r="V9" s="14" t="str">
        <f>IF(TAREAS!$I$8="Propuesta",IF(AND(V$7&gt;=TAREAS!$G$8,V$7&lt;=TAREAS!$H$8,CALENDARIO!$C$26=1),"P",""),IF(ISNUMBER(SEARCH(TEXT(V$7,"yyyy-mm-dd"),TAREAS!$J$8)),IF(TAREAS!$I$8="Registro Git","R",IF(TAREAS!$I$8="Despliegue documentado","D","L")),""))</f>
        <v/>
      </c>
      <c r="W9" s="15" t="str">
        <f>IF(TAREAS!$I$8="Propuesta",IF(AND(W$7&gt;=TAREAS!$G$8,W$7&lt;=TAREAS!$H$8,CALENDARIO!$C$27=1),"P",""),IF(ISNUMBER(SEARCH(TEXT(W$7,"yyyy-mm-dd"),TAREAS!$J$8)),IF(TAREAS!$I$8="Registro Git","R",IF(TAREAS!$I$8="Despliegue documentado","D","L")),""))</f>
        <v/>
      </c>
      <c r="X9" s="15" t="str">
        <f>IF(TAREAS!$I$8="Propuesta",IF(AND(X$7&gt;=TAREAS!$G$8,X$7&lt;=TAREAS!$H$8,CALENDARIO!$C$28=1),"P",""),IF(ISNUMBER(SEARCH(TEXT(X$7,"yyyy-mm-dd"),TAREAS!$J$8)),IF(TAREAS!$I$8="Registro Git","R",IF(TAREAS!$I$8="Despliegue documentado","D","L")),""))</f>
        <v/>
      </c>
      <c r="Y9" s="14" t="str">
        <f>IF(TAREAS!$I$8="Propuesta",IF(AND(Y$7&gt;=TAREAS!$G$8,Y$7&lt;=TAREAS!$H$8,CALENDARIO!$C$29=1),"P",""),IF(ISNUMBER(SEARCH(TEXT(Y$7,"yyyy-mm-dd"),TAREAS!$J$8)),IF(TAREAS!$I$8="Registro Git","R",IF(TAREAS!$I$8="Despliegue documentado","D","L")),""))</f>
        <v/>
      </c>
      <c r="Z9" s="14" t="str">
        <f>IF(TAREAS!$I$8="Propuesta",IF(AND(Z$7&gt;=TAREAS!$G$8,Z$7&lt;=TAREAS!$H$8,CALENDARIO!$C$30=1),"P",""),IF(ISNUMBER(SEARCH(TEXT(Z$7,"yyyy-mm-dd"),TAREAS!$J$8)),IF(TAREAS!$I$8="Registro Git","R",IF(TAREAS!$I$8="Despliegue documentado","D","L")),""))</f>
        <v/>
      </c>
      <c r="AA9" s="14" t="str">
        <f>IF(TAREAS!$I$8="Propuesta",IF(AND(AA$7&gt;=TAREAS!$G$8,AA$7&lt;=TAREAS!$H$8,CALENDARIO!$C$31=1),"P",""),IF(ISNUMBER(SEARCH(TEXT(AA$7,"yyyy-mm-dd"),TAREAS!$J$8)),IF(TAREAS!$I$8="Registro Git","R",IF(TAREAS!$I$8="Despliegue documentado","D","L")),""))</f>
        <v/>
      </c>
      <c r="AB9" s="14" t="str">
        <f>IF(TAREAS!$I$8="Propuesta",IF(AND(AB$7&gt;=TAREAS!$G$8,AB$7&lt;=TAREAS!$H$8,CALENDARIO!$C$32=1),"P",""),IF(ISNUMBER(SEARCH(TEXT(AB$7,"yyyy-mm-dd"),TAREAS!$J$8)),IF(TAREAS!$I$8="Registro Git","R",IF(TAREAS!$I$8="Despliegue documentado","D","L")),""))</f>
        <v/>
      </c>
      <c r="AC9" s="14" t="str">
        <f>IF(TAREAS!$I$8="Propuesta",IF(AND(AC$7&gt;=TAREAS!$G$8,AC$7&lt;=TAREAS!$H$8,CALENDARIO!$C$33=1),"P",""),IF(ISNUMBER(SEARCH(TEXT(AC$7,"yyyy-mm-dd"),TAREAS!$J$8)),IF(TAREAS!$I$8="Registro Git","R",IF(TAREAS!$I$8="Despliegue documentado","D","L")),""))</f>
        <v/>
      </c>
      <c r="AD9" s="15" t="str">
        <f>IF(TAREAS!$I$8="Propuesta",IF(AND(AD$7&gt;=TAREAS!$G$8,AD$7&lt;=TAREAS!$H$8,CALENDARIO!$C$34=1),"P",""),IF(ISNUMBER(SEARCH(TEXT(AD$7,"yyyy-mm-dd"),TAREAS!$J$8)),IF(TAREAS!$I$8="Registro Git","R",IF(TAREAS!$I$8="Despliegue documentado","D","L")),""))</f>
        <v/>
      </c>
      <c r="AE9" s="15" t="str">
        <f>IF(TAREAS!$I$8="Propuesta",IF(AND(AE$7&gt;=TAREAS!$G$8,AE$7&lt;=TAREAS!$H$8,CALENDARIO!$C$35=1),"P",""),IF(ISNUMBER(SEARCH(TEXT(AE$7,"yyyy-mm-dd"),TAREAS!$J$8)),IF(TAREAS!$I$8="Registro Git","R",IF(TAREAS!$I$8="Despliegue documentado","D","L")),""))</f>
        <v/>
      </c>
      <c r="AF9" s="14" t="str">
        <f>IF(TAREAS!$I$8="Propuesta",IF(AND(AF$7&gt;=TAREAS!$G$8,AF$7&lt;=TAREAS!$H$8,CALENDARIO!$C$36=1),"P",""),IF(ISNUMBER(SEARCH(TEXT(AF$7,"yyyy-mm-dd"),TAREAS!$J$8)),IF(TAREAS!$I$8="Registro Git","R",IF(TAREAS!$I$8="Despliegue documentado","D","L")),""))</f>
        <v/>
      </c>
      <c r="AG9" s="14" t="str">
        <f>IF(TAREAS!$I$8="Propuesta",IF(AND(AG$7&gt;=TAREAS!$G$8,AG$7&lt;=TAREAS!$H$8,CALENDARIO!$C$37=1),"P",""),IF(ISNUMBER(SEARCH(TEXT(AG$7,"yyyy-mm-dd"),TAREAS!$J$8)),IF(TAREAS!$I$8="Registro Git","R",IF(TAREAS!$I$8="Despliegue documentado","D","L")),""))</f>
        <v/>
      </c>
      <c r="AH9" s="14" t="str">
        <f>IF(TAREAS!$I$8="Propuesta",IF(AND(AH$7&gt;=TAREAS!$G$8,AH$7&lt;=TAREAS!$H$8,CALENDARIO!$C$38=1),"P",""),IF(ISNUMBER(SEARCH(TEXT(AH$7,"yyyy-mm-dd"),TAREAS!$J$8)),IF(TAREAS!$I$8="Registro Git","R",IF(TAREAS!$I$8="Despliegue documentado","D","L")),""))</f>
        <v/>
      </c>
    </row>
    <row r="10" spans="1:34" ht="72" customHeight="1" x14ac:dyDescent="0.25">
      <c r="A10" s="11" t="str">
        <f>TAREAS!C9</f>
        <v>HU-G01 · Como colaborador, quiero acceder al portal y consultar mi asistencia.</v>
      </c>
      <c r="B10" s="12" t="str">
        <f>TAREAS!A9&amp;" · "&amp;TAREAS!D9</f>
        <v>T-005 · Acceso móvil y experiencia del panel administrativo</v>
      </c>
      <c r="C10" s="12" t="str">
        <f>TAREAS!F9</f>
        <v>jhony-abz, yeiserDev</v>
      </c>
      <c r="D10" s="13">
        <f t="shared" si="0"/>
        <v>2</v>
      </c>
      <c r="E10" s="14" t="str">
        <f>IF(TAREAS!$I$9="Propuesta",IF(AND(E$7&gt;=TAREAS!$G$9,E$7&lt;=TAREAS!$H$9,CALENDARIO!$C$9=1),"P",""),IF(ISNUMBER(SEARCH(TEXT(E$7,"yyyy-mm-dd"),TAREAS!$J$9)),IF(TAREAS!$I$9="Registro Git","R",IF(TAREAS!$I$9="Despliegue documentado","D","L")),""))</f>
        <v>R</v>
      </c>
      <c r="F10" s="14" t="str">
        <f>IF(TAREAS!$I$9="Propuesta",IF(AND(F$7&gt;=TAREAS!$G$9,F$7&lt;=TAREAS!$H$9,CALENDARIO!$C$10=1),"P",""),IF(ISNUMBER(SEARCH(TEXT(F$7,"yyyy-mm-dd"),TAREAS!$J$9)),IF(TAREAS!$I$9="Registro Git","R",IF(TAREAS!$I$9="Despliegue documentado","D","L")),""))</f>
        <v>R</v>
      </c>
      <c r="G10" s="14" t="str">
        <f>IF(TAREAS!$I$9="Propuesta",IF(AND(G$7&gt;=TAREAS!$G$9,G$7&lt;=TAREAS!$H$9,CALENDARIO!$C$11=1),"P",""),IF(ISNUMBER(SEARCH(TEXT(G$7,"yyyy-mm-dd"),TAREAS!$J$9)),IF(TAREAS!$I$9="Registro Git","R",IF(TAREAS!$I$9="Despliegue documentado","D","L")),""))</f>
        <v/>
      </c>
      <c r="H10" s="14" t="str">
        <f>IF(TAREAS!$I$9="Propuesta",IF(AND(H$7&gt;=TAREAS!$G$9,H$7&lt;=TAREAS!$H$9,CALENDARIO!$C$12=1),"P",""),IF(ISNUMBER(SEARCH(TEXT(H$7,"yyyy-mm-dd"),TAREAS!$J$9)),IF(TAREAS!$I$9="Registro Git","R",IF(TAREAS!$I$9="Despliegue documentado","D","L")),""))</f>
        <v/>
      </c>
      <c r="I10" s="15" t="str">
        <f>IF(TAREAS!$I$9="Propuesta",IF(AND(I$7&gt;=TAREAS!$G$9,I$7&lt;=TAREAS!$H$9,CALENDARIO!$C$13=1),"P",""),IF(ISNUMBER(SEARCH(TEXT(I$7,"yyyy-mm-dd"),TAREAS!$J$9)),IF(TAREAS!$I$9="Registro Git","R",IF(TAREAS!$I$9="Despliegue documentado","D","L")),""))</f>
        <v/>
      </c>
      <c r="J10" s="15" t="str">
        <f>IF(TAREAS!$I$9="Propuesta",IF(AND(J$7&gt;=TAREAS!$G$9,J$7&lt;=TAREAS!$H$9,CALENDARIO!$C$14=1),"P",""),IF(ISNUMBER(SEARCH(TEXT(J$7,"yyyy-mm-dd"),TAREAS!$J$9)),IF(TAREAS!$I$9="Registro Git","R",IF(TAREAS!$I$9="Despliegue documentado","D","L")),""))</f>
        <v/>
      </c>
      <c r="K10" s="14" t="str">
        <f>IF(TAREAS!$I$9="Propuesta",IF(AND(K$7&gt;=TAREAS!$G$9,K$7&lt;=TAREAS!$H$9,CALENDARIO!$C$15=1),"P",""),IF(ISNUMBER(SEARCH(TEXT(K$7,"yyyy-mm-dd"),TAREAS!$J$9)),IF(TAREAS!$I$9="Registro Git","R",IF(TAREAS!$I$9="Despliegue documentado","D","L")),""))</f>
        <v/>
      </c>
      <c r="L10" s="14" t="str">
        <f>IF(TAREAS!$I$9="Propuesta",IF(AND(L$7&gt;=TAREAS!$G$9,L$7&lt;=TAREAS!$H$9,CALENDARIO!$C$16=1),"P",""),IF(ISNUMBER(SEARCH(TEXT(L$7,"yyyy-mm-dd"),TAREAS!$J$9)),IF(TAREAS!$I$9="Registro Git","R",IF(TAREAS!$I$9="Despliegue documentado","D","L")),""))</f>
        <v/>
      </c>
      <c r="M10" s="14" t="str">
        <f>IF(TAREAS!$I$9="Propuesta",IF(AND(M$7&gt;=TAREAS!$G$9,M$7&lt;=TAREAS!$H$9,CALENDARIO!$C$17=1),"P",""),IF(ISNUMBER(SEARCH(TEXT(M$7,"yyyy-mm-dd"),TAREAS!$J$9)),IF(TAREAS!$I$9="Registro Git","R",IF(TAREAS!$I$9="Despliegue documentado","D","L")),""))</f>
        <v/>
      </c>
      <c r="N10" s="14" t="str">
        <f>IF(TAREAS!$I$9="Propuesta",IF(AND(N$7&gt;=TAREAS!$G$9,N$7&lt;=TAREAS!$H$9,CALENDARIO!$C$18=1),"P",""),IF(ISNUMBER(SEARCH(TEXT(N$7,"yyyy-mm-dd"),TAREAS!$J$9)),IF(TAREAS!$I$9="Registro Git","R",IF(TAREAS!$I$9="Despliegue documentado","D","L")),""))</f>
        <v/>
      </c>
      <c r="O10" s="14" t="str">
        <f>IF(TAREAS!$I$9="Propuesta",IF(AND(O$7&gt;=TAREAS!$G$9,O$7&lt;=TAREAS!$H$9,CALENDARIO!$C$19=1),"P",""),IF(ISNUMBER(SEARCH(TEXT(O$7,"yyyy-mm-dd"),TAREAS!$J$9)),IF(TAREAS!$I$9="Registro Git","R",IF(TAREAS!$I$9="Despliegue documentado","D","L")),""))</f>
        <v/>
      </c>
      <c r="P10" s="15" t="str">
        <f>IF(TAREAS!$I$9="Propuesta",IF(AND(P$7&gt;=TAREAS!$G$9,P$7&lt;=TAREAS!$H$9,CALENDARIO!$C$20=1),"P",""),IF(ISNUMBER(SEARCH(TEXT(P$7,"yyyy-mm-dd"),TAREAS!$J$9)),IF(TAREAS!$I$9="Registro Git","R",IF(TAREAS!$I$9="Despliegue documentado","D","L")),""))</f>
        <v/>
      </c>
      <c r="Q10" s="15" t="str">
        <f>IF(TAREAS!$I$9="Propuesta",IF(AND(Q$7&gt;=TAREAS!$G$9,Q$7&lt;=TAREAS!$H$9,CALENDARIO!$C$21=1),"P",""),IF(ISNUMBER(SEARCH(TEXT(Q$7,"yyyy-mm-dd"),TAREAS!$J$9)),IF(TAREAS!$I$9="Registro Git","R",IF(TAREAS!$I$9="Despliegue documentado","D","L")),""))</f>
        <v/>
      </c>
      <c r="R10" s="14" t="str">
        <f>IF(TAREAS!$I$9="Propuesta",IF(AND(R$7&gt;=TAREAS!$G$9,R$7&lt;=TAREAS!$H$9,CALENDARIO!$C$22=1),"P",""),IF(ISNUMBER(SEARCH(TEXT(R$7,"yyyy-mm-dd"),TAREAS!$J$9)),IF(TAREAS!$I$9="Registro Git","R",IF(TAREAS!$I$9="Despliegue documentado","D","L")),""))</f>
        <v/>
      </c>
      <c r="S10" s="14" t="str">
        <f>IF(TAREAS!$I$9="Propuesta",IF(AND(S$7&gt;=TAREAS!$G$9,S$7&lt;=TAREAS!$H$9,CALENDARIO!$C$23=1),"P",""),IF(ISNUMBER(SEARCH(TEXT(S$7,"yyyy-mm-dd"),TAREAS!$J$9)),IF(TAREAS!$I$9="Registro Git","R",IF(TAREAS!$I$9="Despliegue documentado","D","L")),""))</f>
        <v/>
      </c>
      <c r="T10" s="14" t="str">
        <f>IF(TAREAS!$I$9="Propuesta",IF(AND(T$7&gt;=TAREAS!$G$9,T$7&lt;=TAREAS!$H$9,CALENDARIO!$C$24=1),"P",""),IF(ISNUMBER(SEARCH(TEXT(T$7,"yyyy-mm-dd"),TAREAS!$J$9)),IF(TAREAS!$I$9="Registro Git","R",IF(TAREAS!$I$9="Despliegue documentado","D","L")),""))</f>
        <v/>
      </c>
      <c r="U10" s="14" t="str">
        <f>IF(TAREAS!$I$9="Propuesta",IF(AND(U$7&gt;=TAREAS!$G$9,U$7&lt;=TAREAS!$H$9,CALENDARIO!$C$25=1),"P",""),IF(ISNUMBER(SEARCH(TEXT(U$7,"yyyy-mm-dd"),TAREAS!$J$9)),IF(TAREAS!$I$9="Registro Git","R",IF(TAREAS!$I$9="Despliegue documentado","D","L")),""))</f>
        <v/>
      </c>
      <c r="V10" s="14" t="str">
        <f>IF(TAREAS!$I$9="Propuesta",IF(AND(V$7&gt;=TAREAS!$G$9,V$7&lt;=TAREAS!$H$9,CALENDARIO!$C$26=1),"P",""),IF(ISNUMBER(SEARCH(TEXT(V$7,"yyyy-mm-dd"),TAREAS!$J$9)),IF(TAREAS!$I$9="Registro Git","R",IF(TAREAS!$I$9="Despliegue documentado","D","L")),""))</f>
        <v/>
      </c>
      <c r="W10" s="15" t="str">
        <f>IF(TAREAS!$I$9="Propuesta",IF(AND(W$7&gt;=TAREAS!$G$9,W$7&lt;=TAREAS!$H$9,CALENDARIO!$C$27=1),"P",""),IF(ISNUMBER(SEARCH(TEXT(W$7,"yyyy-mm-dd"),TAREAS!$J$9)),IF(TAREAS!$I$9="Registro Git","R",IF(TAREAS!$I$9="Despliegue documentado","D","L")),""))</f>
        <v/>
      </c>
      <c r="X10" s="15" t="str">
        <f>IF(TAREAS!$I$9="Propuesta",IF(AND(X$7&gt;=TAREAS!$G$9,X$7&lt;=TAREAS!$H$9,CALENDARIO!$C$28=1),"P",""),IF(ISNUMBER(SEARCH(TEXT(X$7,"yyyy-mm-dd"),TAREAS!$J$9)),IF(TAREAS!$I$9="Registro Git","R",IF(TAREAS!$I$9="Despliegue documentado","D","L")),""))</f>
        <v/>
      </c>
      <c r="Y10" s="14" t="str">
        <f>IF(TAREAS!$I$9="Propuesta",IF(AND(Y$7&gt;=TAREAS!$G$9,Y$7&lt;=TAREAS!$H$9,CALENDARIO!$C$29=1),"P",""),IF(ISNUMBER(SEARCH(TEXT(Y$7,"yyyy-mm-dd"),TAREAS!$J$9)),IF(TAREAS!$I$9="Registro Git","R",IF(TAREAS!$I$9="Despliegue documentado","D","L")),""))</f>
        <v/>
      </c>
      <c r="Z10" s="14" t="str">
        <f>IF(TAREAS!$I$9="Propuesta",IF(AND(Z$7&gt;=TAREAS!$G$9,Z$7&lt;=TAREAS!$H$9,CALENDARIO!$C$30=1),"P",""),IF(ISNUMBER(SEARCH(TEXT(Z$7,"yyyy-mm-dd"),TAREAS!$J$9)),IF(TAREAS!$I$9="Registro Git","R",IF(TAREAS!$I$9="Despliegue documentado","D","L")),""))</f>
        <v/>
      </c>
      <c r="AA10" s="14" t="str">
        <f>IF(TAREAS!$I$9="Propuesta",IF(AND(AA$7&gt;=TAREAS!$G$9,AA$7&lt;=TAREAS!$H$9,CALENDARIO!$C$31=1),"P",""),IF(ISNUMBER(SEARCH(TEXT(AA$7,"yyyy-mm-dd"),TAREAS!$J$9)),IF(TAREAS!$I$9="Registro Git","R",IF(TAREAS!$I$9="Despliegue documentado","D","L")),""))</f>
        <v/>
      </c>
      <c r="AB10" s="14" t="str">
        <f>IF(TAREAS!$I$9="Propuesta",IF(AND(AB$7&gt;=TAREAS!$G$9,AB$7&lt;=TAREAS!$H$9,CALENDARIO!$C$32=1),"P",""),IF(ISNUMBER(SEARCH(TEXT(AB$7,"yyyy-mm-dd"),TAREAS!$J$9)),IF(TAREAS!$I$9="Registro Git","R",IF(TAREAS!$I$9="Despliegue documentado","D","L")),""))</f>
        <v/>
      </c>
      <c r="AC10" s="14" t="str">
        <f>IF(TAREAS!$I$9="Propuesta",IF(AND(AC$7&gt;=TAREAS!$G$9,AC$7&lt;=TAREAS!$H$9,CALENDARIO!$C$33=1),"P",""),IF(ISNUMBER(SEARCH(TEXT(AC$7,"yyyy-mm-dd"),TAREAS!$J$9)),IF(TAREAS!$I$9="Registro Git","R",IF(TAREAS!$I$9="Despliegue documentado","D","L")),""))</f>
        <v/>
      </c>
      <c r="AD10" s="15" t="str">
        <f>IF(TAREAS!$I$9="Propuesta",IF(AND(AD$7&gt;=TAREAS!$G$9,AD$7&lt;=TAREAS!$H$9,CALENDARIO!$C$34=1),"P",""),IF(ISNUMBER(SEARCH(TEXT(AD$7,"yyyy-mm-dd"),TAREAS!$J$9)),IF(TAREAS!$I$9="Registro Git","R",IF(TAREAS!$I$9="Despliegue documentado","D","L")),""))</f>
        <v/>
      </c>
      <c r="AE10" s="15" t="str">
        <f>IF(TAREAS!$I$9="Propuesta",IF(AND(AE$7&gt;=TAREAS!$G$9,AE$7&lt;=TAREAS!$H$9,CALENDARIO!$C$35=1),"P",""),IF(ISNUMBER(SEARCH(TEXT(AE$7,"yyyy-mm-dd"),TAREAS!$J$9)),IF(TAREAS!$I$9="Registro Git","R",IF(TAREAS!$I$9="Despliegue documentado","D","L")),""))</f>
        <v/>
      </c>
      <c r="AF10" s="14" t="str">
        <f>IF(TAREAS!$I$9="Propuesta",IF(AND(AF$7&gt;=TAREAS!$G$9,AF$7&lt;=TAREAS!$H$9,CALENDARIO!$C$36=1),"P",""),IF(ISNUMBER(SEARCH(TEXT(AF$7,"yyyy-mm-dd"),TAREAS!$J$9)),IF(TAREAS!$I$9="Registro Git","R",IF(TAREAS!$I$9="Despliegue documentado","D","L")),""))</f>
        <v/>
      </c>
      <c r="AG10" s="14" t="str">
        <f>IF(TAREAS!$I$9="Propuesta",IF(AND(AG$7&gt;=TAREAS!$G$9,AG$7&lt;=TAREAS!$H$9,CALENDARIO!$C$37=1),"P",""),IF(ISNUMBER(SEARCH(TEXT(AG$7,"yyyy-mm-dd"),TAREAS!$J$9)),IF(TAREAS!$I$9="Registro Git","R",IF(TAREAS!$I$9="Despliegue documentado","D","L")),""))</f>
        <v/>
      </c>
      <c r="AH10" s="14" t="str">
        <f>IF(TAREAS!$I$9="Propuesta",IF(AND(AH$7&gt;=TAREAS!$G$9,AH$7&lt;=TAREAS!$H$9,CALENDARIO!$C$38=1),"P",""),IF(ISNUMBER(SEARCH(TEXT(AH$7,"yyyy-mm-dd"),TAREAS!$J$9)),IF(TAREAS!$I$9="Registro Git","R",IF(TAREAS!$I$9="Despliegue documentado","D","L")),""))</f>
        <v/>
      </c>
    </row>
    <row r="11" spans="1:34" ht="72" customHeight="1" x14ac:dyDescent="0.25">
      <c r="A11" s="16" t="str">
        <f>TAREAS!C10</f>
        <v>HU-G03 · Como colaborador, quiero gestionar mi perfil y mis solicitudes.</v>
      </c>
      <c r="B11" s="12" t="str">
        <f>TAREAS!A10&amp;" · "&amp;TAREAS!D10</f>
        <v>T-006 · Solicitudes personales, fotos y días libres</v>
      </c>
      <c r="C11" s="12" t="str">
        <f>TAREAS!F10</f>
        <v>yeiserDev</v>
      </c>
      <c r="D11" s="13">
        <f t="shared" si="0"/>
        <v>1</v>
      </c>
      <c r="E11" s="14" t="str">
        <f>IF(TAREAS!$I$10="Propuesta",IF(AND(E$7&gt;=TAREAS!$G$10,E$7&lt;=TAREAS!$H$10,CALENDARIO!$C$9=1),"P",""),IF(ISNUMBER(SEARCH(TEXT(E$7,"yyyy-mm-dd"),TAREAS!$J$10)),IF(TAREAS!$I$10="Registro Git","R",IF(TAREAS!$I$10="Despliegue documentado","D","L")),""))</f>
        <v/>
      </c>
      <c r="F11" s="14" t="str">
        <f>IF(TAREAS!$I$10="Propuesta",IF(AND(F$7&gt;=TAREAS!$G$10,F$7&lt;=TAREAS!$H$10,CALENDARIO!$C$10=1),"P",""),IF(ISNUMBER(SEARCH(TEXT(F$7,"yyyy-mm-dd"),TAREAS!$J$10)),IF(TAREAS!$I$10="Registro Git","R",IF(TAREAS!$I$10="Despliegue documentado","D","L")),""))</f>
        <v/>
      </c>
      <c r="G11" s="14" t="str">
        <f>IF(TAREAS!$I$10="Propuesta",IF(AND(G$7&gt;=TAREAS!$G$10,G$7&lt;=TAREAS!$H$10,CALENDARIO!$C$11=1),"P",""),IF(ISNUMBER(SEARCH(TEXT(G$7,"yyyy-mm-dd"),TAREAS!$J$10)),IF(TAREAS!$I$10="Registro Git","R",IF(TAREAS!$I$10="Despliegue documentado","D","L")),""))</f>
        <v>R</v>
      </c>
      <c r="H11" s="14" t="str">
        <f>IF(TAREAS!$I$10="Propuesta",IF(AND(H$7&gt;=TAREAS!$G$10,H$7&lt;=TAREAS!$H$10,CALENDARIO!$C$12=1),"P",""),IF(ISNUMBER(SEARCH(TEXT(H$7,"yyyy-mm-dd"),TAREAS!$J$10)),IF(TAREAS!$I$10="Registro Git","R",IF(TAREAS!$I$10="Despliegue documentado","D","L")),""))</f>
        <v/>
      </c>
      <c r="I11" s="15" t="str">
        <f>IF(TAREAS!$I$10="Propuesta",IF(AND(I$7&gt;=TAREAS!$G$10,I$7&lt;=TAREAS!$H$10,CALENDARIO!$C$13=1),"P",""),IF(ISNUMBER(SEARCH(TEXT(I$7,"yyyy-mm-dd"),TAREAS!$J$10)),IF(TAREAS!$I$10="Registro Git","R",IF(TAREAS!$I$10="Despliegue documentado","D","L")),""))</f>
        <v/>
      </c>
      <c r="J11" s="15" t="str">
        <f>IF(TAREAS!$I$10="Propuesta",IF(AND(J$7&gt;=TAREAS!$G$10,J$7&lt;=TAREAS!$H$10,CALENDARIO!$C$14=1),"P",""),IF(ISNUMBER(SEARCH(TEXT(J$7,"yyyy-mm-dd"),TAREAS!$J$10)),IF(TAREAS!$I$10="Registro Git","R",IF(TAREAS!$I$10="Despliegue documentado","D","L")),""))</f>
        <v/>
      </c>
      <c r="K11" s="14" t="str">
        <f>IF(TAREAS!$I$10="Propuesta",IF(AND(K$7&gt;=TAREAS!$G$10,K$7&lt;=TAREAS!$H$10,CALENDARIO!$C$15=1),"P",""),IF(ISNUMBER(SEARCH(TEXT(K$7,"yyyy-mm-dd"),TAREAS!$J$10)),IF(TAREAS!$I$10="Registro Git","R",IF(TAREAS!$I$10="Despliegue documentado","D","L")),""))</f>
        <v/>
      </c>
      <c r="L11" s="14" t="str">
        <f>IF(TAREAS!$I$10="Propuesta",IF(AND(L$7&gt;=TAREAS!$G$10,L$7&lt;=TAREAS!$H$10,CALENDARIO!$C$16=1),"P",""),IF(ISNUMBER(SEARCH(TEXT(L$7,"yyyy-mm-dd"),TAREAS!$J$10)),IF(TAREAS!$I$10="Registro Git","R",IF(TAREAS!$I$10="Despliegue documentado","D","L")),""))</f>
        <v/>
      </c>
      <c r="M11" s="14" t="str">
        <f>IF(TAREAS!$I$10="Propuesta",IF(AND(M$7&gt;=TAREAS!$G$10,M$7&lt;=TAREAS!$H$10,CALENDARIO!$C$17=1),"P",""),IF(ISNUMBER(SEARCH(TEXT(M$7,"yyyy-mm-dd"),TAREAS!$J$10)),IF(TAREAS!$I$10="Registro Git","R",IF(TAREAS!$I$10="Despliegue documentado","D","L")),""))</f>
        <v/>
      </c>
      <c r="N11" s="14" t="str">
        <f>IF(TAREAS!$I$10="Propuesta",IF(AND(N$7&gt;=TAREAS!$G$10,N$7&lt;=TAREAS!$H$10,CALENDARIO!$C$18=1),"P",""),IF(ISNUMBER(SEARCH(TEXT(N$7,"yyyy-mm-dd"),TAREAS!$J$10)),IF(TAREAS!$I$10="Registro Git","R",IF(TAREAS!$I$10="Despliegue documentado","D","L")),""))</f>
        <v/>
      </c>
      <c r="O11" s="14" t="str">
        <f>IF(TAREAS!$I$10="Propuesta",IF(AND(O$7&gt;=TAREAS!$G$10,O$7&lt;=TAREAS!$H$10,CALENDARIO!$C$19=1),"P",""),IF(ISNUMBER(SEARCH(TEXT(O$7,"yyyy-mm-dd"),TAREAS!$J$10)),IF(TAREAS!$I$10="Registro Git","R",IF(TAREAS!$I$10="Despliegue documentado","D","L")),""))</f>
        <v/>
      </c>
      <c r="P11" s="15" t="str">
        <f>IF(TAREAS!$I$10="Propuesta",IF(AND(P$7&gt;=TAREAS!$G$10,P$7&lt;=TAREAS!$H$10,CALENDARIO!$C$20=1),"P",""),IF(ISNUMBER(SEARCH(TEXT(P$7,"yyyy-mm-dd"),TAREAS!$J$10)),IF(TAREAS!$I$10="Registro Git","R",IF(TAREAS!$I$10="Despliegue documentado","D","L")),""))</f>
        <v/>
      </c>
      <c r="Q11" s="15" t="str">
        <f>IF(TAREAS!$I$10="Propuesta",IF(AND(Q$7&gt;=TAREAS!$G$10,Q$7&lt;=TAREAS!$H$10,CALENDARIO!$C$21=1),"P",""),IF(ISNUMBER(SEARCH(TEXT(Q$7,"yyyy-mm-dd"),TAREAS!$J$10)),IF(TAREAS!$I$10="Registro Git","R",IF(TAREAS!$I$10="Despliegue documentado","D","L")),""))</f>
        <v/>
      </c>
      <c r="R11" s="14" t="str">
        <f>IF(TAREAS!$I$10="Propuesta",IF(AND(R$7&gt;=TAREAS!$G$10,R$7&lt;=TAREAS!$H$10,CALENDARIO!$C$22=1),"P",""),IF(ISNUMBER(SEARCH(TEXT(R$7,"yyyy-mm-dd"),TAREAS!$J$10)),IF(TAREAS!$I$10="Registro Git","R",IF(TAREAS!$I$10="Despliegue documentado","D","L")),""))</f>
        <v/>
      </c>
      <c r="S11" s="14" t="str">
        <f>IF(TAREAS!$I$10="Propuesta",IF(AND(S$7&gt;=TAREAS!$G$10,S$7&lt;=TAREAS!$H$10,CALENDARIO!$C$23=1),"P",""),IF(ISNUMBER(SEARCH(TEXT(S$7,"yyyy-mm-dd"),TAREAS!$J$10)),IF(TAREAS!$I$10="Registro Git","R",IF(TAREAS!$I$10="Despliegue documentado","D","L")),""))</f>
        <v/>
      </c>
      <c r="T11" s="14" t="str">
        <f>IF(TAREAS!$I$10="Propuesta",IF(AND(T$7&gt;=TAREAS!$G$10,T$7&lt;=TAREAS!$H$10,CALENDARIO!$C$24=1),"P",""),IF(ISNUMBER(SEARCH(TEXT(T$7,"yyyy-mm-dd"),TAREAS!$J$10)),IF(TAREAS!$I$10="Registro Git","R",IF(TAREAS!$I$10="Despliegue documentado","D","L")),""))</f>
        <v/>
      </c>
      <c r="U11" s="14" t="str">
        <f>IF(TAREAS!$I$10="Propuesta",IF(AND(U$7&gt;=TAREAS!$G$10,U$7&lt;=TAREAS!$H$10,CALENDARIO!$C$25=1),"P",""),IF(ISNUMBER(SEARCH(TEXT(U$7,"yyyy-mm-dd"),TAREAS!$J$10)),IF(TAREAS!$I$10="Registro Git","R",IF(TAREAS!$I$10="Despliegue documentado","D","L")),""))</f>
        <v/>
      </c>
      <c r="V11" s="14" t="str">
        <f>IF(TAREAS!$I$10="Propuesta",IF(AND(V$7&gt;=TAREAS!$G$10,V$7&lt;=TAREAS!$H$10,CALENDARIO!$C$26=1),"P",""),IF(ISNUMBER(SEARCH(TEXT(V$7,"yyyy-mm-dd"),TAREAS!$J$10)),IF(TAREAS!$I$10="Registro Git","R",IF(TAREAS!$I$10="Despliegue documentado","D","L")),""))</f>
        <v/>
      </c>
      <c r="W11" s="15" t="str">
        <f>IF(TAREAS!$I$10="Propuesta",IF(AND(W$7&gt;=TAREAS!$G$10,W$7&lt;=TAREAS!$H$10,CALENDARIO!$C$27=1),"P",""),IF(ISNUMBER(SEARCH(TEXT(W$7,"yyyy-mm-dd"),TAREAS!$J$10)),IF(TAREAS!$I$10="Registro Git","R",IF(TAREAS!$I$10="Despliegue documentado","D","L")),""))</f>
        <v/>
      </c>
      <c r="X11" s="15" t="str">
        <f>IF(TAREAS!$I$10="Propuesta",IF(AND(X$7&gt;=TAREAS!$G$10,X$7&lt;=TAREAS!$H$10,CALENDARIO!$C$28=1),"P",""),IF(ISNUMBER(SEARCH(TEXT(X$7,"yyyy-mm-dd"),TAREAS!$J$10)),IF(TAREAS!$I$10="Registro Git","R",IF(TAREAS!$I$10="Despliegue documentado","D","L")),""))</f>
        <v/>
      </c>
      <c r="Y11" s="14" t="str">
        <f>IF(TAREAS!$I$10="Propuesta",IF(AND(Y$7&gt;=TAREAS!$G$10,Y$7&lt;=TAREAS!$H$10,CALENDARIO!$C$29=1),"P",""),IF(ISNUMBER(SEARCH(TEXT(Y$7,"yyyy-mm-dd"),TAREAS!$J$10)),IF(TAREAS!$I$10="Registro Git","R",IF(TAREAS!$I$10="Despliegue documentado","D","L")),""))</f>
        <v/>
      </c>
      <c r="Z11" s="14" t="str">
        <f>IF(TAREAS!$I$10="Propuesta",IF(AND(Z$7&gt;=TAREAS!$G$10,Z$7&lt;=TAREAS!$H$10,CALENDARIO!$C$30=1),"P",""),IF(ISNUMBER(SEARCH(TEXT(Z$7,"yyyy-mm-dd"),TAREAS!$J$10)),IF(TAREAS!$I$10="Registro Git","R",IF(TAREAS!$I$10="Despliegue documentado","D","L")),""))</f>
        <v/>
      </c>
      <c r="AA11" s="14" t="str">
        <f>IF(TAREAS!$I$10="Propuesta",IF(AND(AA$7&gt;=TAREAS!$G$10,AA$7&lt;=TAREAS!$H$10,CALENDARIO!$C$31=1),"P",""),IF(ISNUMBER(SEARCH(TEXT(AA$7,"yyyy-mm-dd"),TAREAS!$J$10)),IF(TAREAS!$I$10="Registro Git","R",IF(TAREAS!$I$10="Despliegue documentado","D","L")),""))</f>
        <v/>
      </c>
      <c r="AB11" s="14" t="str">
        <f>IF(TAREAS!$I$10="Propuesta",IF(AND(AB$7&gt;=TAREAS!$G$10,AB$7&lt;=TAREAS!$H$10,CALENDARIO!$C$32=1),"P",""),IF(ISNUMBER(SEARCH(TEXT(AB$7,"yyyy-mm-dd"),TAREAS!$J$10)),IF(TAREAS!$I$10="Registro Git","R",IF(TAREAS!$I$10="Despliegue documentado","D","L")),""))</f>
        <v/>
      </c>
      <c r="AC11" s="14" t="str">
        <f>IF(TAREAS!$I$10="Propuesta",IF(AND(AC$7&gt;=TAREAS!$G$10,AC$7&lt;=TAREAS!$H$10,CALENDARIO!$C$33=1),"P",""),IF(ISNUMBER(SEARCH(TEXT(AC$7,"yyyy-mm-dd"),TAREAS!$J$10)),IF(TAREAS!$I$10="Registro Git","R",IF(TAREAS!$I$10="Despliegue documentado","D","L")),""))</f>
        <v/>
      </c>
      <c r="AD11" s="15" t="str">
        <f>IF(TAREAS!$I$10="Propuesta",IF(AND(AD$7&gt;=TAREAS!$G$10,AD$7&lt;=TAREAS!$H$10,CALENDARIO!$C$34=1),"P",""),IF(ISNUMBER(SEARCH(TEXT(AD$7,"yyyy-mm-dd"),TAREAS!$J$10)),IF(TAREAS!$I$10="Registro Git","R",IF(TAREAS!$I$10="Despliegue documentado","D","L")),""))</f>
        <v/>
      </c>
      <c r="AE11" s="15" t="str">
        <f>IF(TAREAS!$I$10="Propuesta",IF(AND(AE$7&gt;=TAREAS!$G$10,AE$7&lt;=TAREAS!$H$10,CALENDARIO!$C$35=1),"P",""),IF(ISNUMBER(SEARCH(TEXT(AE$7,"yyyy-mm-dd"),TAREAS!$J$10)),IF(TAREAS!$I$10="Registro Git","R",IF(TAREAS!$I$10="Despliegue documentado","D","L")),""))</f>
        <v/>
      </c>
      <c r="AF11" s="14" t="str">
        <f>IF(TAREAS!$I$10="Propuesta",IF(AND(AF$7&gt;=TAREAS!$G$10,AF$7&lt;=TAREAS!$H$10,CALENDARIO!$C$36=1),"P",""),IF(ISNUMBER(SEARCH(TEXT(AF$7,"yyyy-mm-dd"),TAREAS!$J$10)),IF(TAREAS!$I$10="Registro Git","R",IF(TAREAS!$I$10="Despliegue documentado","D","L")),""))</f>
        <v/>
      </c>
      <c r="AG11" s="14" t="str">
        <f>IF(TAREAS!$I$10="Propuesta",IF(AND(AG$7&gt;=TAREAS!$G$10,AG$7&lt;=TAREAS!$H$10,CALENDARIO!$C$37=1),"P",""),IF(ISNUMBER(SEARCH(TEXT(AG$7,"yyyy-mm-dd"),TAREAS!$J$10)),IF(TAREAS!$I$10="Registro Git","R",IF(TAREAS!$I$10="Despliegue documentado","D","L")),""))</f>
        <v/>
      </c>
      <c r="AH11" s="14" t="str">
        <f>IF(TAREAS!$I$10="Propuesta",IF(AND(AH$7&gt;=TAREAS!$G$10,AH$7&lt;=TAREAS!$H$10,CALENDARIO!$C$38=1),"P",""),IF(ISNUMBER(SEARCH(TEXT(AH$7,"yyyy-mm-dd"),TAREAS!$J$10)),IF(TAREAS!$I$10="Registro Git","R",IF(TAREAS!$I$10="Despliegue documentado","D","L")),""))</f>
        <v/>
      </c>
    </row>
    <row r="12" spans="1:34" ht="72" customHeight="1" x14ac:dyDescent="0.25">
      <c r="A12" s="18" t="str">
        <f>TAREAS!C11</f>
        <v>HU-G04 · Como colaborador, quiero entregar evidencias y conocer el cierre de mi jornada.</v>
      </c>
      <c r="B12" s="12" t="str">
        <f>TAREAS!A11&amp;" · "&amp;TAREAS!D11</f>
        <v>T-007 · Cierre diario con evidencias y salida</v>
      </c>
      <c r="C12" s="12" t="str">
        <f>TAREAS!F11</f>
        <v>yeiserDev</v>
      </c>
      <c r="D12" s="13">
        <f t="shared" si="0"/>
        <v>1</v>
      </c>
      <c r="E12" s="14" t="str">
        <f>IF(TAREAS!$I$11="Propuesta",IF(AND(E$7&gt;=TAREAS!$G$11,E$7&lt;=TAREAS!$H$11,CALENDARIO!$C$9=1),"P",""),IF(ISNUMBER(SEARCH(TEXT(E$7,"yyyy-mm-dd"),TAREAS!$J$11)),IF(TAREAS!$I$11="Registro Git","R",IF(TAREAS!$I$11="Despliegue documentado","D","L")),""))</f>
        <v/>
      </c>
      <c r="F12" s="14" t="str">
        <f>IF(TAREAS!$I$11="Propuesta",IF(AND(F$7&gt;=TAREAS!$G$11,F$7&lt;=TAREAS!$H$11,CALENDARIO!$C$10=1),"P",""),IF(ISNUMBER(SEARCH(TEXT(F$7,"yyyy-mm-dd"),TAREAS!$J$11)),IF(TAREAS!$I$11="Registro Git","R",IF(TAREAS!$I$11="Despliegue documentado","D","L")),""))</f>
        <v/>
      </c>
      <c r="G12" s="14" t="str">
        <f>IF(TAREAS!$I$11="Propuesta",IF(AND(G$7&gt;=TAREAS!$G$11,G$7&lt;=TAREAS!$H$11,CALENDARIO!$C$11=1),"P",""),IF(ISNUMBER(SEARCH(TEXT(G$7,"yyyy-mm-dd"),TAREAS!$J$11)),IF(TAREAS!$I$11="Registro Git","R",IF(TAREAS!$I$11="Despliegue documentado","D","L")),""))</f>
        <v/>
      </c>
      <c r="H12" s="14" t="str">
        <f>IF(TAREAS!$I$11="Propuesta",IF(AND(H$7&gt;=TAREAS!$G$11,H$7&lt;=TAREAS!$H$11,CALENDARIO!$C$12=1),"P",""),IF(ISNUMBER(SEARCH(TEXT(H$7,"yyyy-mm-dd"),TAREAS!$J$11)),IF(TAREAS!$I$11="Registro Git","R",IF(TAREAS!$I$11="Despliegue documentado","D","L")),""))</f>
        <v/>
      </c>
      <c r="I12" s="15" t="str">
        <f>IF(TAREAS!$I$11="Propuesta",IF(AND(I$7&gt;=TAREAS!$G$11,I$7&lt;=TAREAS!$H$11,CALENDARIO!$C$13=1),"P",""),IF(ISNUMBER(SEARCH(TEXT(I$7,"yyyy-mm-dd"),TAREAS!$J$11)),IF(TAREAS!$I$11="Registro Git","R",IF(TAREAS!$I$11="Despliegue documentado","D","L")),""))</f>
        <v/>
      </c>
      <c r="J12" s="15" t="str">
        <f>IF(TAREAS!$I$11="Propuesta",IF(AND(J$7&gt;=TAREAS!$G$11,J$7&lt;=TAREAS!$H$11,CALENDARIO!$C$14=1),"P",""),IF(ISNUMBER(SEARCH(TEXT(J$7,"yyyy-mm-dd"),TAREAS!$J$11)),IF(TAREAS!$I$11="Registro Git","R",IF(TAREAS!$I$11="Despliegue documentado","D","L")),""))</f>
        <v/>
      </c>
      <c r="K12" s="14" t="str">
        <f>IF(TAREAS!$I$11="Propuesta",IF(AND(K$7&gt;=TAREAS!$G$11,K$7&lt;=TAREAS!$H$11,CALENDARIO!$C$15=1),"P",""),IF(ISNUMBER(SEARCH(TEXT(K$7,"yyyy-mm-dd"),TAREAS!$J$11)),IF(TAREAS!$I$11="Registro Git","R",IF(TAREAS!$I$11="Despliegue documentado","D","L")),""))</f>
        <v>R</v>
      </c>
      <c r="L12" s="14" t="str">
        <f>IF(TAREAS!$I$11="Propuesta",IF(AND(L$7&gt;=TAREAS!$G$11,L$7&lt;=TAREAS!$H$11,CALENDARIO!$C$16=1),"P",""),IF(ISNUMBER(SEARCH(TEXT(L$7,"yyyy-mm-dd"),TAREAS!$J$11)),IF(TAREAS!$I$11="Registro Git","R",IF(TAREAS!$I$11="Despliegue documentado","D","L")),""))</f>
        <v/>
      </c>
      <c r="M12" s="14" t="str">
        <f>IF(TAREAS!$I$11="Propuesta",IF(AND(M$7&gt;=TAREAS!$G$11,M$7&lt;=TAREAS!$H$11,CALENDARIO!$C$17=1),"P",""),IF(ISNUMBER(SEARCH(TEXT(M$7,"yyyy-mm-dd"),TAREAS!$J$11)),IF(TAREAS!$I$11="Registro Git","R",IF(TAREAS!$I$11="Despliegue documentado","D","L")),""))</f>
        <v/>
      </c>
      <c r="N12" s="14" t="str">
        <f>IF(TAREAS!$I$11="Propuesta",IF(AND(N$7&gt;=TAREAS!$G$11,N$7&lt;=TAREAS!$H$11,CALENDARIO!$C$18=1),"P",""),IF(ISNUMBER(SEARCH(TEXT(N$7,"yyyy-mm-dd"),TAREAS!$J$11)),IF(TAREAS!$I$11="Registro Git","R",IF(TAREAS!$I$11="Despliegue documentado","D","L")),""))</f>
        <v/>
      </c>
      <c r="O12" s="14" t="str">
        <f>IF(TAREAS!$I$11="Propuesta",IF(AND(O$7&gt;=TAREAS!$G$11,O$7&lt;=TAREAS!$H$11,CALENDARIO!$C$19=1),"P",""),IF(ISNUMBER(SEARCH(TEXT(O$7,"yyyy-mm-dd"),TAREAS!$J$11)),IF(TAREAS!$I$11="Registro Git","R",IF(TAREAS!$I$11="Despliegue documentado","D","L")),""))</f>
        <v/>
      </c>
      <c r="P12" s="15" t="str">
        <f>IF(TAREAS!$I$11="Propuesta",IF(AND(P$7&gt;=TAREAS!$G$11,P$7&lt;=TAREAS!$H$11,CALENDARIO!$C$20=1),"P",""),IF(ISNUMBER(SEARCH(TEXT(P$7,"yyyy-mm-dd"),TAREAS!$J$11)),IF(TAREAS!$I$11="Registro Git","R",IF(TAREAS!$I$11="Despliegue documentado","D","L")),""))</f>
        <v/>
      </c>
      <c r="Q12" s="15" t="str">
        <f>IF(TAREAS!$I$11="Propuesta",IF(AND(Q$7&gt;=TAREAS!$G$11,Q$7&lt;=TAREAS!$H$11,CALENDARIO!$C$21=1),"P",""),IF(ISNUMBER(SEARCH(TEXT(Q$7,"yyyy-mm-dd"),TAREAS!$J$11)),IF(TAREAS!$I$11="Registro Git","R",IF(TAREAS!$I$11="Despliegue documentado","D","L")),""))</f>
        <v/>
      </c>
      <c r="R12" s="14" t="str">
        <f>IF(TAREAS!$I$11="Propuesta",IF(AND(R$7&gt;=TAREAS!$G$11,R$7&lt;=TAREAS!$H$11,CALENDARIO!$C$22=1),"P",""),IF(ISNUMBER(SEARCH(TEXT(R$7,"yyyy-mm-dd"),TAREAS!$J$11)),IF(TAREAS!$I$11="Registro Git","R",IF(TAREAS!$I$11="Despliegue documentado","D","L")),""))</f>
        <v/>
      </c>
      <c r="S12" s="14" t="str">
        <f>IF(TAREAS!$I$11="Propuesta",IF(AND(S$7&gt;=TAREAS!$G$11,S$7&lt;=TAREAS!$H$11,CALENDARIO!$C$23=1),"P",""),IF(ISNUMBER(SEARCH(TEXT(S$7,"yyyy-mm-dd"),TAREAS!$J$11)),IF(TAREAS!$I$11="Registro Git","R",IF(TAREAS!$I$11="Despliegue documentado","D","L")),""))</f>
        <v/>
      </c>
      <c r="T12" s="14" t="str">
        <f>IF(TAREAS!$I$11="Propuesta",IF(AND(T$7&gt;=TAREAS!$G$11,T$7&lt;=TAREAS!$H$11,CALENDARIO!$C$24=1),"P",""),IF(ISNUMBER(SEARCH(TEXT(T$7,"yyyy-mm-dd"),TAREAS!$J$11)),IF(TAREAS!$I$11="Registro Git","R",IF(TAREAS!$I$11="Despliegue documentado","D","L")),""))</f>
        <v/>
      </c>
      <c r="U12" s="14" t="str">
        <f>IF(TAREAS!$I$11="Propuesta",IF(AND(U$7&gt;=TAREAS!$G$11,U$7&lt;=TAREAS!$H$11,CALENDARIO!$C$25=1),"P",""),IF(ISNUMBER(SEARCH(TEXT(U$7,"yyyy-mm-dd"),TAREAS!$J$11)),IF(TAREAS!$I$11="Registro Git","R",IF(TAREAS!$I$11="Despliegue documentado","D","L")),""))</f>
        <v/>
      </c>
      <c r="V12" s="14" t="str">
        <f>IF(TAREAS!$I$11="Propuesta",IF(AND(V$7&gt;=TAREAS!$G$11,V$7&lt;=TAREAS!$H$11,CALENDARIO!$C$26=1),"P",""),IF(ISNUMBER(SEARCH(TEXT(V$7,"yyyy-mm-dd"),TAREAS!$J$11)),IF(TAREAS!$I$11="Registro Git","R",IF(TAREAS!$I$11="Despliegue documentado","D","L")),""))</f>
        <v/>
      </c>
      <c r="W12" s="15" t="str">
        <f>IF(TAREAS!$I$11="Propuesta",IF(AND(W$7&gt;=TAREAS!$G$11,W$7&lt;=TAREAS!$H$11,CALENDARIO!$C$27=1),"P",""),IF(ISNUMBER(SEARCH(TEXT(W$7,"yyyy-mm-dd"),TAREAS!$J$11)),IF(TAREAS!$I$11="Registro Git","R",IF(TAREAS!$I$11="Despliegue documentado","D","L")),""))</f>
        <v/>
      </c>
      <c r="X12" s="15" t="str">
        <f>IF(TAREAS!$I$11="Propuesta",IF(AND(X$7&gt;=TAREAS!$G$11,X$7&lt;=TAREAS!$H$11,CALENDARIO!$C$28=1),"P",""),IF(ISNUMBER(SEARCH(TEXT(X$7,"yyyy-mm-dd"),TAREAS!$J$11)),IF(TAREAS!$I$11="Registro Git","R",IF(TAREAS!$I$11="Despliegue documentado","D","L")),""))</f>
        <v/>
      </c>
      <c r="Y12" s="14" t="str">
        <f>IF(TAREAS!$I$11="Propuesta",IF(AND(Y$7&gt;=TAREAS!$G$11,Y$7&lt;=TAREAS!$H$11,CALENDARIO!$C$29=1),"P",""),IF(ISNUMBER(SEARCH(TEXT(Y$7,"yyyy-mm-dd"),TAREAS!$J$11)),IF(TAREAS!$I$11="Registro Git","R",IF(TAREAS!$I$11="Despliegue documentado","D","L")),""))</f>
        <v/>
      </c>
      <c r="Z12" s="14" t="str">
        <f>IF(TAREAS!$I$11="Propuesta",IF(AND(Z$7&gt;=TAREAS!$G$11,Z$7&lt;=TAREAS!$H$11,CALENDARIO!$C$30=1),"P",""),IF(ISNUMBER(SEARCH(TEXT(Z$7,"yyyy-mm-dd"),TAREAS!$J$11)),IF(TAREAS!$I$11="Registro Git","R",IF(TAREAS!$I$11="Despliegue documentado","D","L")),""))</f>
        <v/>
      </c>
      <c r="AA12" s="14" t="str">
        <f>IF(TAREAS!$I$11="Propuesta",IF(AND(AA$7&gt;=TAREAS!$G$11,AA$7&lt;=TAREAS!$H$11,CALENDARIO!$C$31=1),"P",""),IF(ISNUMBER(SEARCH(TEXT(AA$7,"yyyy-mm-dd"),TAREAS!$J$11)),IF(TAREAS!$I$11="Registro Git","R",IF(TAREAS!$I$11="Despliegue documentado","D","L")),""))</f>
        <v/>
      </c>
      <c r="AB12" s="14" t="str">
        <f>IF(TAREAS!$I$11="Propuesta",IF(AND(AB$7&gt;=TAREAS!$G$11,AB$7&lt;=TAREAS!$H$11,CALENDARIO!$C$32=1),"P",""),IF(ISNUMBER(SEARCH(TEXT(AB$7,"yyyy-mm-dd"),TAREAS!$J$11)),IF(TAREAS!$I$11="Registro Git","R",IF(TAREAS!$I$11="Despliegue documentado","D","L")),""))</f>
        <v/>
      </c>
      <c r="AC12" s="14" t="str">
        <f>IF(TAREAS!$I$11="Propuesta",IF(AND(AC$7&gt;=TAREAS!$G$11,AC$7&lt;=TAREAS!$H$11,CALENDARIO!$C$33=1),"P",""),IF(ISNUMBER(SEARCH(TEXT(AC$7,"yyyy-mm-dd"),TAREAS!$J$11)),IF(TAREAS!$I$11="Registro Git","R",IF(TAREAS!$I$11="Despliegue documentado","D","L")),""))</f>
        <v/>
      </c>
      <c r="AD12" s="15" t="str">
        <f>IF(TAREAS!$I$11="Propuesta",IF(AND(AD$7&gt;=TAREAS!$G$11,AD$7&lt;=TAREAS!$H$11,CALENDARIO!$C$34=1),"P",""),IF(ISNUMBER(SEARCH(TEXT(AD$7,"yyyy-mm-dd"),TAREAS!$J$11)),IF(TAREAS!$I$11="Registro Git","R",IF(TAREAS!$I$11="Despliegue documentado","D","L")),""))</f>
        <v/>
      </c>
      <c r="AE12" s="15" t="str">
        <f>IF(TAREAS!$I$11="Propuesta",IF(AND(AE$7&gt;=TAREAS!$G$11,AE$7&lt;=TAREAS!$H$11,CALENDARIO!$C$35=1),"P",""),IF(ISNUMBER(SEARCH(TEXT(AE$7,"yyyy-mm-dd"),TAREAS!$J$11)),IF(TAREAS!$I$11="Registro Git","R",IF(TAREAS!$I$11="Despliegue documentado","D","L")),""))</f>
        <v/>
      </c>
      <c r="AF12" s="14" t="str">
        <f>IF(TAREAS!$I$11="Propuesta",IF(AND(AF$7&gt;=TAREAS!$G$11,AF$7&lt;=TAREAS!$H$11,CALENDARIO!$C$36=1),"P",""),IF(ISNUMBER(SEARCH(TEXT(AF$7,"yyyy-mm-dd"),TAREAS!$J$11)),IF(TAREAS!$I$11="Registro Git","R",IF(TAREAS!$I$11="Despliegue documentado","D","L")),""))</f>
        <v/>
      </c>
      <c r="AG12" s="14" t="str">
        <f>IF(TAREAS!$I$11="Propuesta",IF(AND(AG$7&gt;=TAREAS!$G$11,AG$7&lt;=TAREAS!$H$11,CALENDARIO!$C$37=1),"P",""),IF(ISNUMBER(SEARCH(TEXT(AG$7,"yyyy-mm-dd"),TAREAS!$J$11)),IF(TAREAS!$I$11="Registro Git","R",IF(TAREAS!$I$11="Despliegue documentado","D","L")),""))</f>
        <v/>
      </c>
      <c r="AH12" s="14" t="str">
        <f>IF(TAREAS!$I$11="Propuesta",IF(AND(AH$7&gt;=TAREAS!$G$11,AH$7&lt;=TAREAS!$H$11,CALENDARIO!$C$38=1),"P",""),IF(ISNUMBER(SEARCH(TEXT(AH$7,"yyyy-mm-dd"),TAREAS!$J$11)),IF(TAREAS!$I$11="Registro Git","R",IF(TAREAS!$I$11="Despliegue documentado","D","L")),""))</f>
        <v/>
      </c>
    </row>
    <row r="13" spans="1:34" ht="72" customHeight="1" x14ac:dyDescent="0.25">
      <c r="A13" s="18" t="str">
        <f>TAREAS!C12</f>
        <v>HU-G04 · Como colaborador, quiero entregar evidencias y conocer el cierre de mi jornada.</v>
      </c>
      <c r="B13" s="12" t="str">
        <f>TAREAS!A12&amp;" · "&amp;TAREAS!D12</f>
        <v>T-008 · Corrección de evidencias y comprobante de Facebook</v>
      </c>
      <c r="C13" s="12" t="str">
        <f>TAREAS!F12</f>
        <v>yeiserDev</v>
      </c>
      <c r="D13" s="13">
        <f t="shared" si="0"/>
        <v>1</v>
      </c>
      <c r="E13" s="14" t="str">
        <f>IF(TAREAS!$I$12="Propuesta",IF(AND(E$7&gt;=TAREAS!$G$12,E$7&lt;=TAREAS!$H$12,CALENDARIO!$C$9=1),"P",""),IF(ISNUMBER(SEARCH(TEXT(E$7,"yyyy-mm-dd"),TAREAS!$J$12)),IF(TAREAS!$I$12="Registro Git","R",IF(TAREAS!$I$12="Despliegue documentado","D","L")),""))</f>
        <v/>
      </c>
      <c r="F13" s="14" t="str">
        <f>IF(TAREAS!$I$12="Propuesta",IF(AND(F$7&gt;=TAREAS!$G$12,F$7&lt;=TAREAS!$H$12,CALENDARIO!$C$10=1),"P",""),IF(ISNUMBER(SEARCH(TEXT(F$7,"yyyy-mm-dd"),TAREAS!$J$12)),IF(TAREAS!$I$12="Registro Git","R",IF(TAREAS!$I$12="Despliegue documentado","D","L")),""))</f>
        <v/>
      </c>
      <c r="G13" s="14" t="str">
        <f>IF(TAREAS!$I$12="Propuesta",IF(AND(G$7&gt;=TAREAS!$G$12,G$7&lt;=TAREAS!$H$12,CALENDARIO!$C$11=1),"P",""),IF(ISNUMBER(SEARCH(TEXT(G$7,"yyyy-mm-dd"),TAREAS!$J$12)),IF(TAREAS!$I$12="Registro Git","R",IF(TAREAS!$I$12="Despliegue documentado","D","L")),""))</f>
        <v/>
      </c>
      <c r="H13" s="14" t="str">
        <f>IF(TAREAS!$I$12="Propuesta",IF(AND(H$7&gt;=TAREAS!$G$12,H$7&lt;=TAREAS!$H$12,CALENDARIO!$C$12=1),"P",""),IF(ISNUMBER(SEARCH(TEXT(H$7,"yyyy-mm-dd"),TAREAS!$J$12)),IF(TAREAS!$I$12="Registro Git","R",IF(TAREAS!$I$12="Despliegue documentado","D","L")),""))</f>
        <v/>
      </c>
      <c r="I13" s="15" t="str">
        <f>IF(TAREAS!$I$12="Propuesta",IF(AND(I$7&gt;=TAREAS!$G$12,I$7&lt;=TAREAS!$H$12,CALENDARIO!$C$13=1),"P",""),IF(ISNUMBER(SEARCH(TEXT(I$7,"yyyy-mm-dd"),TAREAS!$J$12)),IF(TAREAS!$I$12="Registro Git","R",IF(TAREAS!$I$12="Despliegue documentado","D","L")),""))</f>
        <v/>
      </c>
      <c r="J13" s="15" t="str">
        <f>IF(TAREAS!$I$12="Propuesta",IF(AND(J$7&gt;=TAREAS!$G$12,J$7&lt;=TAREAS!$H$12,CALENDARIO!$C$14=1),"P",""),IF(ISNUMBER(SEARCH(TEXT(J$7,"yyyy-mm-dd"),TAREAS!$J$12)),IF(TAREAS!$I$12="Registro Git","R",IF(TAREAS!$I$12="Despliegue documentado","D","L")),""))</f>
        <v/>
      </c>
      <c r="K13" s="14" t="str">
        <f>IF(TAREAS!$I$12="Propuesta",IF(AND(K$7&gt;=TAREAS!$G$12,K$7&lt;=TAREAS!$H$12,CALENDARIO!$C$15=1),"P",""),IF(ISNUMBER(SEARCH(TEXT(K$7,"yyyy-mm-dd"),TAREAS!$J$12)),IF(TAREAS!$I$12="Registro Git","R",IF(TAREAS!$I$12="Despliegue documentado","D","L")),""))</f>
        <v>R</v>
      </c>
      <c r="L13" s="14" t="str">
        <f>IF(TAREAS!$I$12="Propuesta",IF(AND(L$7&gt;=TAREAS!$G$12,L$7&lt;=TAREAS!$H$12,CALENDARIO!$C$16=1),"P",""),IF(ISNUMBER(SEARCH(TEXT(L$7,"yyyy-mm-dd"),TAREAS!$J$12)),IF(TAREAS!$I$12="Registro Git","R",IF(TAREAS!$I$12="Despliegue documentado","D","L")),""))</f>
        <v/>
      </c>
      <c r="M13" s="14" t="str">
        <f>IF(TAREAS!$I$12="Propuesta",IF(AND(M$7&gt;=TAREAS!$G$12,M$7&lt;=TAREAS!$H$12,CALENDARIO!$C$17=1),"P",""),IF(ISNUMBER(SEARCH(TEXT(M$7,"yyyy-mm-dd"),TAREAS!$J$12)),IF(TAREAS!$I$12="Registro Git","R",IF(TAREAS!$I$12="Despliegue documentado","D","L")),""))</f>
        <v/>
      </c>
      <c r="N13" s="14" t="str">
        <f>IF(TAREAS!$I$12="Propuesta",IF(AND(N$7&gt;=TAREAS!$G$12,N$7&lt;=TAREAS!$H$12,CALENDARIO!$C$18=1),"P",""),IF(ISNUMBER(SEARCH(TEXT(N$7,"yyyy-mm-dd"),TAREAS!$J$12)),IF(TAREAS!$I$12="Registro Git","R",IF(TAREAS!$I$12="Despliegue documentado","D","L")),""))</f>
        <v/>
      </c>
      <c r="O13" s="14" t="str">
        <f>IF(TAREAS!$I$12="Propuesta",IF(AND(O$7&gt;=TAREAS!$G$12,O$7&lt;=TAREAS!$H$12,CALENDARIO!$C$19=1),"P",""),IF(ISNUMBER(SEARCH(TEXT(O$7,"yyyy-mm-dd"),TAREAS!$J$12)),IF(TAREAS!$I$12="Registro Git","R",IF(TAREAS!$I$12="Despliegue documentado","D","L")),""))</f>
        <v/>
      </c>
      <c r="P13" s="15" t="str">
        <f>IF(TAREAS!$I$12="Propuesta",IF(AND(P$7&gt;=TAREAS!$G$12,P$7&lt;=TAREAS!$H$12,CALENDARIO!$C$20=1),"P",""),IF(ISNUMBER(SEARCH(TEXT(P$7,"yyyy-mm-dd"),TAREAS!$J$12)),IF(TAREAS!$I$12="Registro Git","R",IF(TAREAS!$I$12="Despliegue documentado","D","L")),""))</f>
        <v/>
      </c>
      <c r="Q13" s="15" t="str">
        <f>IF(TAREAS!$I$12="Propuesta",IF(AND(Q$7&gt;=TAREAS!$G$12,Q$7&lt;=TAREAS!$H$12,CALENDARIO!$C$21=1),"P",""),IF(ISNUMBER(SEARCH(TEXT(Q$7,"yyyy-mm-dd"),TAREAS!$J$12)),IF(TAREAS!$I$12="Registro Git","R",IF(TAREAS!$I$12="Despliegue documentado","D","L")),""))</f>
        <v/>
      </c>
      <c r="R13" s="14" t="str">
        <f>IF(TAREAS!$I$12="Propuesta",IF(AND(R$7&gt;=TAREAS!$G$12,R$7&lt;=TAREAS!$H$12,CALENDARIO!$C$22=1),"P",""),IF(ISNUMBER(SEARCH(TEXT(R$7,"yyyy-mm-dd"),TAREAS!$J$12)),IF(TAREAS!$I$12="Registro Git","R",IF(TAREAS!$I$12="Despliegue documentado","D","L")),""))</f>
        <v/>
      </c>
      <c r="S13" s="14" t="str">
        <f>IF(TAREAS!$I$12="Propuesta",IF(AND(S$7&gt;=TAREAS!$G$12,S$7&lt;=TAREAS!$H$12,CALENDARIO!$C$23=1),"P",""),IF(ISNUMBER(SEARCH(TEXT(S$7,"yyyy-mm-dd"),TAREAS!$J$12)),IF(TAREAS!$I$12="Registro Git","R",IF(TAREAS!$I$12="Despliegue documentado","D","L")),""))</f>
        <v/>
      </c>
      <c r="T13" s="14" t="str">
        <f>IF(TAREAS!$I$12="Propuesta",IF(AND(T$7&gt;=TAREAS!$G$12,T$7&lt;=TAREAS!$H$12,CALENDARIO!$C$24=1),"P",""),IF(ISNUMBER(SEARCH(TEXT(T$7,"yyyy-mm-dd"),TAREAS!$J$12)),IF(TAREAS!$I$12="Registro Git","R",IF(TAREAS!$I$12="Despliegue documentado","D","L")),""))</f>
        <v/>
      </c>
      <c r="U13" s="14" t="str">
        <f>IF(TAREAS!$I$12="Propuesta",IF(AND(U$7&gt;=TAREAS!$G$12,U$7&lt;=TAREAS!$H$12,CALENDARIO!$C$25=1),"P",""),IF(ISNUMBER(SEARCH(TEXT(U$7,"yyyy-mm-dd"),TAREAS!$J$12)),IF(TAREAS!$I$12="Registro Git","R",IF(TAREAS!$I$12="Despliegue documentado","D","L")),""))</f>
        <v/>
      </c>
      <c r="V13" s="14" t="str">
        <f>IF(TAREAS!$I$12="Propuesta",IF(AND(V$7&gt;=TAREAS!$G$12,V$7&lt;=TAREAS!$H$12,CALENDARIO!$C$26=1),"P",""),IF(ISNUMBER(SEARCH(TEXT(V$7,"yyyy-mm-dd"),TAREAS!$J$12)),IF(TAREAS!$I$12="Registro Git","R",IF(TAREAS!$I$12="Despliegue documentado","D","L")),""))</f>
        <v/>
      </c>
      <c r="W13" s="15" t="str">
        <f>IF(TAREAS!$I$12="Propuesta",IF(AND(W$7&gt;=TAREAS!$G$12,W$7&lt;=TAREAS!$H$12,CALENDARIO!$C$27=1),"P",""),IF(ISNUMBER(SEARCH(TEXT(W$7,"yyyy-mm-dd"),TAREAS!$J$12)),IF(TAREAS!$I$12="Registro Git","R",IF(TAREAS!$I$12="Despliegue documentado","D","L")),""))</f>
        <v/>
      </c>
      <c r="X13" s="15" t="str">
        <f>IF(TAREAS!$I$12="Propuesta",IF(AND(X$7&gt;=TAREAS!$G$12,X$7&lt;=TAREAS!$H$12,CALENDARIO!$C$28=1),"P",""),IF(ISNUMBER(SEARCH(TEXT(X$7,"yyyy-mm-dd"),TAREAS!$J$12)),IF(TAREAS!$I$12="Registro Git","R",IF(TAREAS!$I$12="Despliegue documentado","D","L")),""))</f>
        <v/>
      </c>
      <c r="Y13" s="14" t="str">
        <f>IF(TAREAS!$I$12="Propuesta",IF(AND(Y$7&gt;=TAREAS!$G$12,Y$7&lt;=TAREAS!$H$12,CALENDARIO!$C$29=1),"P",""),IF(ISNUMBER(SEARCH(TEXT(Y$7,"yyyy-mm-dd"),TAREAS!$J$12)),IF(TAREAS!$I$12="Registro Git","R",IF(TAREAS!$I$12="Despliegue documentado","D","L")),""))</f>
        <v/>
      </c>
      <c r="Z13" s="14" t="str">
        <f>IF(TAREAS!$I$12="Propuesta",IF(AND(Z$7&gt;=TAREAS!$G$12,Z$7&lt;=TAREAS!$H$12,CALENDARIO!$C$30=1),"P",""),IF(ISNUMBER(SEARCH(TEXT(Z$7,"yyyy-mm-dd"),TAREAS!$J$12)),IF(TAREAS!$I$12="Registro Git","R",IF(TAREAS!$I$12="Despliegue documentado","D","L")),""))</f>
        <v/>
      </c>
      <c r="AA13" s="14" t="str">
        <f>IF(TAREAS!$I$12="Propuesta",IF(AND(AA$7&gt;=TAREAS!$G$12,AA$7&lt;=TAREAS!$H$12,CALENDARIO!$C$31=1),"P",""),IF(ISNUMBER(SEARCH(TEXT(AA$7,"yyyy-mm-dd"),TAREAS!$J$12)),IF(TAREAS!$I$12="Registro Git","R",IF(TAREAS!$I$12="Despliegue documentado","D","L")),""))</f>
        <v/>
      </c>
      <c r="AB13" s="14" t="str">
        <f>IF(TAREAS!$I$12="Propuesta",IF(AND(AB$7&gt;=TAREAS!$G$12,AB$7&lt;=TAREAS!$H$12,CALENDARIO!$C$32=1),"P",""),IF(ISNUMBER(SEARCH(TEXT(AB$7,"yyyy-mm-dd"),TAREAS!$J$12)),IF(TAREAS!$I$12="Registro Git","R",IF(TAREAS!$I$12="Despliegue documentado","D","L")),""))</f>
        <v/>
      </c>
      <c r="AC13" s="14" t="str">
        <f>IF(TAREAS!$I$12="Propuesta",IF(AND(AC$7&gt;=TAREAS!$G$12,AC$7&lt;=TAREAS!$H$12,CALENDARIO!$C$33=1),"P",""),IF(ISNUMBER(SEARCH(TEXT(AC$7,"yyyy-mm-dd"),TAREAS!$J$12)),IF(TAREAS!$I$12="Registro Git","R",IF(TAREAS!$I$12="Despliegue documentado","D","L")),""))</f>
        <v/>
      </c>
      <c r="AD13" s="15" t="str">
        <f>IF(TAREAS!$I$12="Propuesta",IF(AND(AD$7&gt;=TAREAS!$G$12,AD$7&lt;=TAREAS!$H$12,CALENDARIO!$C$34=1),"P",""),IF(ISNUMBER(SEARCH(TEXT(AD$7,"yyyy-mm-dd"),TAREAS!$J$12)),IF(TAREAS!$I$12="Registro Git","R",IF(TAREAS!$I$12="Despliegue documentado","D","L")),""))</f>
        <v/>
      </c>
      <c r="AE13" s="15" t="str">
        <f>IF(TAREAS!$I$12="Propuesta",IF(AND(AE$7&gt;=TAREAS!$G$12,AE$7&lt;=TAREAS!$H$12,CALENDARIO!$C$35=1),"P",""),IF(ISNUMBER(SEARCH(TEXT(AE$7,"yyyy-mm-dd"),TAREAS!$J$12)),IF(TAREAS!$I$12="Registro Git","R",IF(TAREAS!$I$12="Despliegue documentado","D","L")),""))</f>
        <v/>
      </c>
      <c r="AF13" s="14" t="str">
        <f>IF(TAREAS!$I$12="Propuesta",IF(AND(AF$7&gt;=TAREAS!$G$12,AF$7&lt;=TAREAS!$H$12,CALENDARIO!$C$36=1),"P",""),IF(ISNUMBER(SEARCH(TEXT(AF$7,"yyyy-mm-dd"),TAREAS!$J$12)),IF(TAREAS!$I$12="Registro Git","R",IF(TAREAS!$I$12="Despliegue documentado","D","L")),""))</f>
        <v/>
      </c>
      <c r="AG13" s="14" t="str">
        <f>IF(TAREAS!$I$12="Propuesta",IF(AND(AG$7&gt;=TAREAS!$G$12,AG$7&lt;=TAREAS!$H$12,CALENDARIO!$C$37=1),"P",""),IF(ISNUMBER(SEARCH(TEXT(AG$7,"yyyy-mm-dd"),TAREAS!$J$12)),IF(TAREAS!$I$12="Registro Git","R",IF(TAREAS!$I$12="Despliegue documentado","D","L")),""))</f>
        <v/>
      </c>
      <c r="AH13" s="14" t="str">
        <f>IF(TAREAS!$I$12="Propuesta",IF(AND(AH$7&gt;=TAREAS!$G$12,AH$7&lt;=TAREAS!$H$12,CALENDARIO!$C$38=1),"P",""),IF(ISNUMBER(SEARCH(TEXT(AH$7,"yyyy-mm-dd"),TAREAS!$J$12)),IF(TAREAS!$I$12="Registro Git","R",IF(TAREAS!$I$12="Despliegue documentado","D","L")),""))</f>
        <v/>
      </c>
    </row>
    <row r="14" spans="1:34" ht="72" customHeight="1" x14ac:dyDescent="0.25">
      <c r="A14" s="19" t="str">
        <f>TAREAS!C13</f>
        <v>HU-G05 · Como responsable, quiero asignar trabajo y supervisar el cumplimiento.</v>
      </c>
      <c r="B14" s="12" t="str">
        <f>TAREAS!A13&amp;" · "&amp;TAREAS!D13</f>
        <v>T-009 · Revisión, observaciones y notificaciones de evidencias</v>
      </c>
      <c r="C14" s="12" t="str">
        <f>TAREAS!F13</f>
        <v>yeiserDev</v>
      </c>
      <c r="D14" s="13">
        <f t="shared" si="0"/>
        <v>3</v>
      </c>
      <c r="E14" s="14" t="str">
        <f>IF(TAREAS!$I$13="Propuesta",IF(AND(E$7&gt;=TAREAS!$G$13,E$7&lt;=TAREAS!$H$13,CALENDARIO!$C$9=1),"P",""),IF(ISNUMBER(SEARCH(TEXT(E$7,"yyyy-mm-dd"),TAREAS!$J$13)),IF(TAREAS!$I$13="Registro Git","R",IF(TAREAS!$I$13="Despliegue documentado","D","L")),""))</f>
        <v/>
      </c>
      <c r="F14" s="14" t="str">
        <f>IF(TAREAS!$I$13="Propuesta",IF(AND(F$7&gt;=TAREAS!$G$13,F$7&lt;=TAREAS!$H$13,CALENDARIO!$C$10=1),"P",""),IF(ISNUMBER(SEARCH(TEXT(F$7,"yyyy-mm-dd"),TAREAS!$J$13)),IF(TAREAS!$I$13="Registro Git","R",IF(TAREAS!$I$13="Despliegue documentado","D","L")),""))</f>
        <v/>
      </c>
      <c r="G14" s="14" t="str">
        <f>IF(TAREAS!$I$13="Propuesta",IF(AND(G$7&gt;=TAREAS!$G$13,G$7&lt;=TAREAS!$H$13,CALENDARIO!$C$11=1),"P",""),IF(ISNUMBER(SEARCH(TEXT(G$7,"yyyy-mm-dd"),TAREAS!$J$13)),IF(TAREAS!$I$13="Registro Git","R",IF(TAREAS!$I$13="Despliegue documentado","D","L")),""))</f>
        <v/>
      </c>
      <c r="H14" s="14" t="str">
        <f>IF(TAREAS!$I$13="Propuesta",IF(AND(H$7&gt;=TAREAS!$G$13,H$7&lt;=TAREAS!$H$13,CALENDARIO!$C$12=1),"P",""),IF(ISNUMBER(SEARCH(TEXT(H$7,"yyyy-mm-dd"),TAREAS!$J$13)),IF(TAREAS!$I$13="Registro Git","R",IF(TAREAS!$I$13="Despliegue documentado","D","L")),""))</f>
        <v/>
      </c>
      <c r="I14" s="15" t="str">
        <f>IF(TAREAS!$I$13="Propuesta",IF(AND(I$7&gt;=TAREAS!$G$13,I$7&lt;=TAREAS!$H$13,CALENDARIO!$C$13=1),"P",""),IF(ISNUMBER(SEARCH(TEXT(I$7,"yyyy-mm-dd"),TAREAS!$J$13)),IF(TAREAS!$I$13="Registro Git","R",IF(TAREAS!$I$13="Despliegue documentado","D","L")),""))</f>
        <v/>
      </c>
      <c r="J14" s="15" t="str">
        <f>IF(TAREAS!$I$13="Propuesta",IF(AND(J$7&gt;=TAREAS!$G$13,J$7&lt;=TAREAS!$H$13,CALENDARIO!$C$14=1),"P",""),IF(ISNUMBER(SEARCH(TEXT(J$7,"yyyy-mm-dd"),TAREAS!$J$13)),IF(TAREAS!$I$13="Registro Git","R",IF(TAREAS!$I$13="Despliegue documentado","D","L")),""))</f>
        <v/>
      </c>
      <c r="K14" s="14" t="str">
        <f>IF(TAREAS!$I$13="Propuesta",IF(AND(K$7&gt;=TAREAS!$G$13,K$7&lt;=TAREAS!$H$13,CALENDARIO!$C$15=1),"P",""),IF(ISNUMBER(SEARCH(TEXT(K$7,"yyyy-mm-dd"),TAREAS!$J$13)),IF(TAREAS!$I$13="Registro Git","R",IF(TAREAS!$I$13="Despliegue documentado","D","L")),""))</f>
        <v>R</v>
      </c>
      <c r="L14" s="14" t="str">
        <f>IF(TAREAS!$I$13="Propuesta",IF(AND(L$7&gt;=TAREAS!$G$13,L$7&lt;=TAREAS!$H$13,CALENDARIO!$C$16=1),"P",""),IF(ISNUMBER(SEARCH(TEXT(L$7,"yyyy-mm-dd"),TAREAS!$J$13)),IF(TAREAS!$I$13="Registro Git","R",IF(TAREAS!$I$13="Despliegue documentado","D","L")),""))</f>
        <v>R</v>
      </c>
      <c r="M14" s="14" t="str">
        <f>IF(TAREAS!$I$13="Propuesta",IF(AND(M$7&gt;=TAREAS!$G$13,M$7&lt;=TAREAS!$H$13,CALENDARIO!$C$17=1),"P",""),IF(ISNUMBER(SEARCH(TEXT(M$7,"yyyy-mm-dd"),TAREAS!$J$13)),IF(TAREAS!$I$13="Registro Git","R",IF(TAREAS!$I$13="Despliegue documentado","D","L")),""))</f>
        <v>R</v>
      </c>
      <c r="N14" s="14" t="str">
        <f>IF(TAREAS!$I$13="Propuesta",IF(AND(N$7&gt;=TAREAS!$G$13,N$7&lt;=TAREAS!$H$13,CALENDARIO!$C$18=1),"P",""),IF(ISNUMBER(SEARCH(TEXT(N$7,"yyyy-mm-dd"),TAREAS!$J$13)),IF(TAREAS!$I$13="Registro Git","R",IF(TAREAS!$I$13="Despliegue documentado","D","L")),""))</f>
        <v/>
      </c>
      <c r="O14" s="14" t="str">
        <f>IF(TAREAS!$I$13="Propuesta",IF(AND(O$7&gt;=TAREAS!$G$13,O$7&lt;=TAREAS!$H$13,CALENDARIO!$C$19=1),"P",""),IF(ISNUMBER(SEARCH(TEXT(O$7,"yyyy-mm-dd"),TAREAS!$J$13)),IF(TAREAS!$I$13="Registro Git","R",IF(TAREAS!$I$13="Despliegue documentado","D","L")),""))</f>
        <v/>
      </c>
      <c r="P14" s="15" t="str">
        <f>IF(TAREAS!$I$13="Propuesta",IF(AND(P$7&gt;=TAREAS!$G$13,P$7&lt;=TAREAS!$H$13,CALENDARIO!$C$20=1),"P",""),IF(ISNUMBER(SEARCH(TEXT(P$7,"yyyy-mm-dd"),TAREAS!$J$13)),IF(TAREAS!$I$13="Registro Git","R",IF(TAREAS!$I$13="Despliegue documentado","D","L")),""))</f>
        <v/>
      </c>
      <c r="Q14" s="15" t="str">
        <f>IF(TAREAS!$I$13="Propuesta",IF(AND(Q$7&gt;=TAREAS!$G$13,Q$7&lt;=TAREAS!$H$13,CALENDARIO!$C$21=1),"P",""),IF(ISNUMBER(SEARCH(TEXT(Q$7,"yyyy-mm-dd"),TAREAS!$J$13)),IF(TAREAS!$I$13="Registro Git","R",IF(TAREAS!$I$13="Despliegue documentado","D","L")),""))</f>
        <v/>
      </c>
      <c r="R14" s="14" t="str">
        <f>IF(TAREAS!$I$13="Propuesta",IF(AND(R$7&gt;=TAREAS!$G$13,R$7&lt;=TAREAS!$H$13,CALENDARIO!$C$22=1),"P",""),IF(ISNUMBER(SEARCH(TEXT(R$7,"yyyy-mm-dd"),TAREAS!$J$13)),IF(TAREAS!$I$13="Registro Git","R",IF(TAREAS!$I$13="Despliegue documentado","D","L")),""))</f>
        <v/>
      </c>
      <c r="S14" s="14" t="str">
        <f>IF(TAREAS!$I$13="Propuesta",IF(AND(S$7&gt;=TAREAS!$G$13,S$7&lt;=TAREAS!$H$13,CALENDARIO!$C$23=1),"P",""),IF(ISNUMBER(SEARCH(TEXT(S$7,"yyyy-mm-dd"),TAREAS!$J$13)),IF(TAREAS!$I$13="Registro Git","R",IF(TAREAS!$I$13="Despliegue documentado","D","L")),""))</f>
        <v/>
      </c>
      <c r="T14" s="14" t="str">
        <f>IF(TAREAS!$I$13="Propuesta",IF(AND(T$7&gt;=TAREAS!$G$13,T$7&lt;=TAREAS!$H$13,CALENDARIO!$C$24=1),"P",""),IF(ISNUMBER(SEARCH(TEXT(T$7,"yyyy-mm-dd"),TAREAS!$J$13)),IF(TAREAS!$I$13="Registro Git","R",IF(TAREAS!$I$13="Despliegue documentado","D","L")),""))</f>
        <v/>
      </c>
      <c r="U14" s="14" t="str">
        <f>IF(TAREAS!$I$13="Propuesta",IF(AND(U$7&gt;=TAREAS!$G$13,U$7&lt;=TAREAS!$H$13,CALENDARIO!$C$25=1),"P",""),IF(ISNUMBER(SEARCH(TEXT(U$7,"yyyy-mm-dd"),TAREAS!$J$13)),IF(TAREAS!$I$13="Registro Git","R",IF(TAREAS!$I$13="Despliegue documentado","D","L")),""))</f>
        <v/>
      </c>
      <c r="V14" s="14" t="str">
        <f>IF(TAREAS!$I$13="Propuesta",IF(AND(V$7&gt;=TAREAS!$G$13,V$7&lt;=TAREAS!$H$13,CALENDARIO!$C$26=1),"P",""),IF(ISNUMBER(SEARCH(TEXT(V$7,"yyyy-mm-dd"),TAREAS!$J$13)),IF(TAREAS!$I$13="Registro Git","R",IF(TAREAS!$I$13="Despliegue documentado","D","L")),""))</f>
        <v/>
      </c>
      <c r="W14" s="15" t="str">
        <f>IF(TAREAS!$I$13="Propuesta",IF(AND(W$7&gt;=TAREAS!$G$13,W$7&lt;=TAREAS!$H$13,CALENDARIO!$C$27=1),"P",""),IF(ISNUMBER(SEARCH(TEXT(W$7,"yyyy-mm-dd"),TAREAS!$J$13)),IF(TAREAS!$I$13="Registro Git","R",IF(TAREAS!$I$13="Despliegue documentado","D","L")),""))</f>
        <v/>
      </c>
      <c r="X14" s="15" t="str">
        <f>IF(TAREAS!$I$13="Propuesta",IF(AND(X$7&gt;=TAREAS!$G$13,X$7&lt;=TAREAS!$H$13,CALENDARIO!$C$28=1),"P",""),IF(ISNUMBER(SEARCH(TEXT(X$7,"yyyy-mm-dd"),TAREAS!$J$13)),IF(TAREAS!$I$13="Registro Git","R",IF(TAREAS!$I$13="Despliegue documentado","D","L")),""))</f>
        <v/>
      </c>
      <c r="Y14" s="14" t="str">
        <f>IF(TAREAS!$I$13="Propuesta",IF(AND(Y$7&gt;=TAREAS!$G$13,Y$7&lt;=TAREAS!$H$13,CALENDARIO!$C$29=1),"P",""),IF(ISNUMBER(SEARCH(TEXT(Y$7,"yyyy-mm-dd"),TAREAS!$J$13)),IF(TAREAS!$I$13="Registro Git","R",IF(TAREAS!$I$13="Despliegue documentado","D","L")),""))</f>
        <v/>
      </c>
      <c r="Z14" s="14" t="str">
        <f>IF(TAREAS!$I$13="Propuesta",IF(AND(Z$7&gt;=TAREAS!$G$13,Z$7&lt;=TAREAS!$H$13,CALENDARIO!$C$30=1),"P",""),IF(ISNUMBER(SEARCH(TEXT(Z$7,"yyyy-mm-dd"),TAREAS!$J$13)),IF(TAREAS!$I$13="Registro Git","R",IF(TAREAS!$I$13="Despliegue documentado","D","L")),""))</f>
        <v/>
      </c>
      <c r="AA14" s="14" t="str">
        <f>IF(TAREAS!$I$13="Propuesta",IF(AND(AA$7&gt;=TAREAS!$G$13,AA$7&lt;=TAREAS!$H$13,CALENDARIO!$C$31=1),"P",""),IF(ISNUMBER(SEARCH(TEXT(AA$7,"yyyy-mm-dd"),TAREAS!$J$13)),IF(TAREAS!$I$13="Registro Git","R",IF(TAREAS!$I$13="Despliegue documentado","D","L")),""))</f>
        <v/>
      </c>
      <c r="AB14" s="14" t="str">
        <f>IF(TAREAS!$I$13="Propuesta",IF(AND(AB$7&gt;=TAREAS!$G$13,AB$7&lt;=TAREAS!$H$13,CALENDARIO!$C$32=1),"P",""),IF(ISNUMBER(SEARCH(TEXT(AB$7,"yyyy-mm-dd"),TAREAS!$J$13)),IF(TAREAS!$I$13="Registro Git","R",IF(TAREAS!$I$13="Despliegue documentado","D","L")),""))</f>
        <v/>
      </c>
      <c r="AC14" s="14" t="str">
        <f>IF(TAREAS!$I$13="Propuesta",IF(AND(AC$7&gt;=TAREAS!$G$13,AC$7&lt;=TAREAS!$H$13,CALENDARIO!$C$33=1),"P",""),IF(ISNUMBER(SEARCH(TEXT(AC$7,"yyyy-mm-dd"),TAREAS!$J$13)),IF(TAREAS!$I$13="Registro Git","R",IF(TAREAS!$I$13="Despliegue documentado","D","L")),""))</f>
        <v/>
      </c>
      <c r="AD14" s="15" t="str">
        <f>IF(TAREAS!$I$13="Propuesta",IF(AND(AD$7&gt;=TAREAS!$G$13,AD$7&lt;=TAREAS!$H$13,CALENDARIO!$C$34=1),"P",""),IF(ISNUMBER(SEARCH(TEXT(AD$7,"yyyy-mm-dd"),TAREAS!$J$13)),IF(TAREAS!$I$13="Registro Git","R",IF(TAREAS!$I$13="Despliegue documentado","D","L")),""))</f>
        <v/>
      </c>
      <c r="AE14" s="15" t="str">
        <f>IF(TAREAS!$I$13="Propuesta",IF(AND(AE$7&gt;=TAREAS!$G$13,AE$7&lt;=TAREAS!$H$13,CALENDARIO!$C$35=1),"P",""),IF(ISNUMBER(SEARCH(TEXT(AE$7,"yyyy-mm-dd"),TAREAS!$J$13)),IF(TAREAS!$I$13="Registro Git","R",IF(TAREAS!$I$13="Despliegue documentado","D","L")),""))</f>
        <v/>
      </c>
      <c r="AF14" s="14" t="str">
        <f>IF(TAREAS!$I$13="Propuesta",IF(AND(AF$7&gt;=TAREAS!$G$13,AF$7&lt;=TAREAS!$H$13,CALENDARIO!$C$36=1),"P",""),IF(ISNUMBER(SEARCH(TEXT(AF$7,"yyyy-mm-dd"),TAREAS!$J$13)),IF(TAREAS!$I$13="Registro Git","R",IF(TAREAS!$I$13="Despliegue documentado","D","L")),""))</f>
        <v/>
      </c>
      <c r="AG14" s="14" t="str">
        <f>IF(TAREAS!$I$13="Propuesta",IF(AND(AG$7&gt;=TAREAS!$G$13,AG$7&lt;=TAREAS!$H$13,CALENDARIO!$C$37=1),"P",""),IF(ISNUMBER(SEARCH(TEXT(AG$7,"yyyy-mm-dd"),TAREAS!$J$13)),IF(TAREAS!$I$13="Registro Git","R",IF(TAREAS!$I$13="Despliegue documentado","D","L")),""))</f>
        <v/>
      </c>
      <c r="AH14" s="14" t="str">
        <f>IF(TAREAS!$I$13="Propuesta",IF(AND(AH$7&gt;=TAREAS!$G$13,AH$7&lt;=TAREAS!$H$13,CALENDARIO!$C$38=1),"P",""),IF(ISNUMBER(SEARCH(TEXT(AH$7,"yyyy-mm-dd"),TAREAS!$J$13)),IF(TAREAS!$I$13="Registro Git","R",IF(TAREAS!$I$13="Despliegue documentado","D","L")),""))</f>
        <v/>
      </c>
    </row>
    <row r="15" spans="1:34" ht="72" customHeight="1" x14ac:dyDescent="0.25">
      <c r="A15" s="18" t="str">
        <f>TAREAS!C14</f>
        <v>HU-G04 · Como colaborador, quiero entregar evidencias y conocer el cierre de mi jornada.</v>
      </c>
      <c r="B15" s="12" t="str">
        <f>TAREAS!A14&amp;" · "&amp;TAREAS!D14</f>
        <v>T-010 · Agenda Facebook independiente y vencimientos</v>
      </c>
      <c r="C15" s="12" t="str">
        <f>TAREAS!F14</f>
        <v>yeiserDev</v>
      </c>
      <c r="D15" s="13">
        <f t="shared" si="0"/>
        <v>1</v>
      </c>
      <c r="E15" s="14" t="str">
        <f>IF(TAREAS!$I$14="Propuesta",IF(AND(E$7&gt;=TAREAS!$G$14,E$7&lt;=TAREAS!$H$14,CALENDARIO!$C$9=1),"P",""),IF(ISNUMBER(SEARCH(TEXT(E$7,"yyyy-mm-dd"),TAREAS!$J$14)),IF(TAREAS!$I$14="Registro Git","R",IF(TAREAS!$I$14="Despliegue documentado","D","L")),""))</f>
        <v/>
      </c>
      <c r="F15" s="14" t="str">
        <f>IF(TAREAS!$I$14="Propuesta",IF(AND(F$7&gt;=TAREAS!$G$14,F$7&lt;=TAREAS!$H$14,CALENDARIO!$C$10=1),"P",""),IF(ISNUMBER(SEARCH(TEXT(F$7,"yyyy-mm-dd"),TAREAS!$J$14)),IF(TAREAS!$I$14="Registro Git","R",IF(TAREAS!$I$14="Despliegue documentado","D","L")),""))</f>
        <v/>
      </c>
      <c r="G15" s="14" t="str">
        <f>IF(TAREAS!$I$14="Propuesta",IF(AND(G$7&gt;=TAREAS!$G$14,G$7&lt;=TAREAS!$H$14,CALENDARIO!$C$11=1),"P",""),IF(ISNUMBER(SEARCH(TEXT(G$7,"yyyy-mm-dd"),TAREAS!$J$14)),IF(TAREAS!$I$14="Registro Git","R",IF(TAREAS!$I$14="Despliegue documentado","D","L")),""))</f>
        <v/>
      </c>
      <c r="H15" s="14" t="str">
        <f>IF(TAREAS!$I$14="Propuesta",IF(AND(H$7&gt;=TAREAS!$G$14,H$7&lt;=TAREAS!$H$14,CALENDARIO!$C$12=1),"P",""),IF(ISNUMBER(SEARCH(TEXT(H$7,"yyyy-mm-dd"),TAREAS!$J$14)),IF(TAREAS!$I$14="Registro Git","R",IF(TAREAS!$I$14="Despliegue documentado","D","L")),""))</f>
        <v/>
      </c>
      <c r="I15" s="15" t="str">
        <f>IF(TAREAS!$I$14="Propuesta",IF(AND(I$7&gt;=TAREAS!$G$14,I$7&lt;=TAREAS!$H$14,CALENDARIO!$C$13=1),"P",""),IF(ISNUMBER(SEARCH(TEXT(I$7,"yyyy-mm-dd"),TAREAS!$J$14)),IF(TAREAS!$I$14="Registro Git","R",IF(TAREAS!$I$14="Despliegue documentado","D","L")),""))</f>
        <v/>
      </c>
      <c r="J15" s="15" t="str">
        <f>IF(TAREAS!$I$14="Propuesta",IF(AND(J$7&gt;=TAREAS!$G$14,J$7&lt;=TAREAS!$H$14,CALENDARIO!$C$14=1),"P",""),IF(ISNUMBER(SEARCH(TEXT(J$7,"yyyy-mm-dd"),TAREAS!$J$14)),IF(TAREAS!$I$14="Registro Git","R",IF(TAREAS!$I$14="Despliegue documentado","D","L")),""))</f>
        <v/>
      </c>
      <c r="K15" s="14" t="str">
        <f>IF(TAREAS!$I$14="Propuesta",IF(AND(K$7&gt;=TAREAS!$G$14,K$7&lt;=TAREAS!$H$14,CALENDARIO!$C$15=1),"P",""),IF(ISNUMBER(SEARCH(TEXT(K$7,"yyyy-mm-dd"),TAREAS!$J$14)),IF(TAREAS!$I$14="Registro Git","R",IF(TAREAS!$I$14="Despliegue documentado","D","L")),""))</f>
        <v/>
      </c>
      <c r="L15" s="14" t="str">
        <f>IF(TAREAS!$I$14="Propuesta",IF(AND(L$7&gt;=TAREAS!$G$14,L$7&lt;=TAREAS!$H$14,CALENDARIO!$C$16=1),"P",""),IF(ISNUMBER(SEARCH(TEXT(L$7,"yyyy-mm-dd"),TAREAS!$J$14)),IF(TAREAS!$I$14="Registro Git","R",IF(TAREAS!$I$14="Despliegue documentado","D","L")),""))</f>
        <v/>
      </c>
      <c r="M15" s="14" t="str">
        <f>IF(TAREAS!$I$14="Propuesta",IF(AND(M$7&gt;=TAREAS!$G$14,M$7&lt;=TAREAS!$H$14,CALENDARIO!$C$17=1),"P",""),IF(ISNUMBER(SEARCH(TEXT(M$7,"yyyy-mm-dd"),TAREAS!$J$14)),IF(TAREAS!$I$14="Registro Git","R",IF(TAREAS!$I$14="Despliegue documentado","D","L")),""))</f>
        <v/>
      </c>
      <c r="N15" s="14" t="str">
        <f>IF(TAREAS!$I$14="Propuesta",IF(AND(N$7&gt;=TAREAS!$G$14,N$7&lt;=TAREAS!$H$14,CALENDARIO!$C$18=1),"P",""),IF(ISNUMBER(SEARCH(TEXT(N$7,"yyyy-mm-dd"),TAREAS!$J$14)),IF(TAREAS!$I$14="Registro Git","R",IF(TAREAS!$I$14="Despliegue documentado","D","L")),""))</f>
        <v>R</v>
      </c>
      <c r="O15" s="14" t="str">
        <f>IF(TAREAS!$I$14="Propuesta",IF(AND(O$7&gt;=TAREAS!$G$14,O$7&lt;=TAREAS!$H$14,CALENDARIO!$C$19=1),"P",""),IF(ISNUMBER(SEARCH(TEXT(O$7,"yyyy-mm-dd"),TAREAS!$J$14)),IF(TAREAS!$I$14="Registro Git","R",IF(TAREAS!$I$14="Despliegue documentado","D","L")),""))</f>
        <v/>
      </c>
      <c r="P15" s="15" t="str">
        <f>IF(TAREAS!$I$14="Propuesta",IF(AND(P$7&gt;=TAREAS!$G$14,P$7&lt;=TAREAS!$H$14,CALENDARIO!$C$20=1),"P",""),IF(ISNUMBER(SEARCH(TEXT(P$7,"yyyy-mm-dd"),TAREAS!$J$14)),IF(TAREAS!$I$14="Registro Git","R",IF(TAREAS!$I$14="Despliegue documentado","D","L")),""))</f>
        <v/>
      </c>
      <c r="Q15" s="15" t="str">
        <f>IF(TAREAS!$I$14="Propuesta",IF(AND(Q$7&gt;=TAREAS!$G$14,Q$7&lt;=TAREAS!$H$14,CALENDARIO!$C$21=1),"P",""),IF(ISNUMBER(SEARCH(TEXT(Q$7,"yyyy-mm-dd"),TAREAS!$J$14)),IF(TAREAS!$I$14="Registro Git","R",IF(TAREAS!$I$14="Despliegue documentado","D","L")),""))</f>
        <v/>
      </c>
      <c r="R15" s="14" t="str">
        <f>IF(TAREAS!$I$14="Propuesta",IF(AND(R$7&gt;=TAREAS!$G$14,R$7&lt;=TAREAS!$H$14,CALENDARIO!$C$22=1),"P",""),IF(ISNUMBER(SEARCH(TEXT(R$7,"yyyy-mm-dd"),TAREAS!$J$14)),IF(TAREAS!$I$14="Registro Git","R",IF(TAREAS!$I$14="Despliegue documentado","D","L")),""))</f>
        <v/>
      </c>
      <c r="S15" s="14" t="str">
        <f>IF(TAREAS!$I$14="Propuesta",IF(AND(S$7&gt;=TAREAS!$G$14,S$7&lt;=TAREAS!$H$14,CALENDARIO!$C$23=1),"P",""),IF(ISNUMBER(SEARCH(TEXT(S$7,"yyyy-mm-dd"),TAREAS!$J$14)),IF(TAREAS!$I$14="Registro Git","R",IF(TAREAS!$I$14="Despliegue documentado","D","L")),""))</f>
        <v/>
      </c>
      <c r="T15" s="14" t="str">
        <f>IF(TAREAS!$I$14="Propuesta",IF(AND(T$7&gt;=TAREAS!$G$14,T$7&lt;=TAREAS!$H$14,CALENDARIO!$C$24=1),"P",""),IF(ISNUMBER(SEARCH(TEXT(T$7,"yyyy-mm-dd"),TAREAS!$J$14)),IF(TAREAS!$I$14="Registro Git","R",IF(TAREAS!$I$14="Despliegue documentado","D","L")),""))</f>
        <v/>
      </c>
      <c r="U15" s="14" t="str">
        <f>IF(TAREAS!$I$14="Propuesta",IF(AND(U$7&gt;=TAREAS!$G$14,U$7&lt;=TAREAS!$H$14,CALENDARIO!$C$25=1),"P",""),IF(ISNUMBER(SEARCH(TEXT(U$7,"yyyy-mm-dd"),TAREAS!$J$14)),IF(TAREAS!$I$14="Registro Git","R",IF(TAREAS!$I$14="Despliegue documentado","D","L")),""))</f>
        <v/>
      </c>
      <c r="V15" s="14" t="str">
        <f>IF(TAREAS!$I$14="Propuesta",IF(AND(V$7&gt;=TAREAS!$G$14,V$7&lt;=TAREAS!$H$14,CALENDARIO!$C$26=1),"P",""),IF(ISNUMBER(SEARCH(TEXT(V$7,"yyyy-mm-dd"),TAREAS!$J$14)),IF(TAREAS!$I$14="Registro Git","R",IF(TAREAS!$I$14="Despliegue documentado","D","L")),""))</f>
        <v/>
      </c>
      <c r="W15" s="15" t="str">
        <f>IF(TAREAS!$I$14="Propuesta",IF(AND(W$7&gt;=TAREAS!$G$14,W$7&lt;=TAREAS!$H$14,CALENDARIO!$C$27=1),"P",""),IF(ISNUMBER(SEARCH(TEXT(W$7,"yyyy-mm-dd"),TAREAS!$J$14)),IF(TAREAS!$I$14="Registro Git","R",IF(TAREAS!$I$14="Despliegue documentado","D","L")),""))</f>
        <v/>
      </c>
      <c r="X15" s="15" t="str">
        <f>IF(TAREAS!$I$14="Propuesta",IF(AND(X$7&gt;=TAREAS!$G$14,X$7&lt;=TAREAS!$H$14,CALENDARIO!$C$28=1),"P",""),IF(ISNUMBER(SEARCH(TEXT(X$7,"yyyy-mm-dd"),TAREAS!$J$14)),IF(TAREAS!$I$14="Registro Git","R",IF(TAREAS!$I$14="Despliegue documentado","D","L")),""))</f>
        <v/>
      </c>
      <c r="Y15" s="14" t="str">
        <f>IF(TAREAS!$I$14="Propuesta",IF(AND(Y$7&gt;=TAREAS!$G$14,Y$7&lt;=TAREAS!$H$14,CALENDARIO!$C$29=1),"P",""),IF(ISNUMBER(SEARCH(TEXT(Y$7,"yyyy-mm-dd"),TAREAS!$J$14)),IF(TAREAS!$I$14="Registro Git","R",IF(TAREAS!$I$14="Despliegue documentado","D","L")),""))</f>
        <v/>
      </c>
      <c r="Z15" s="14" t="str">
        <f>IF(TAREAS!$I$14="Propuesta",IF(AND(Z$7&gt;=TAREAS!$G$14,Z$7&lt;=TAREAS!$H$14,CALENDARIO!$C$30=1),"P",""),IF(ISNUMBER(SEARCH(TEXT(Z$7,"yyyy-mm-dd"),TAREAS!$J$14)),IF(TAREAS!$I$14="Registro Git","R",IF(TAREAS!$I$14="Despliegue documentado","D","L")),""))</f>
        <v/>
      </c>
      <c r="AA15" s="14" t="str">
        <f>IF(TAREAS!$I$14="Propuesta",IF(AND(AA$7&gt;=TAREAS!$G$14,AA$7&lt;=TAREAS!$H$14,CALENDARIO!$C$31=1),"P",""),IF(ISNUMBER(SEARCH(TEXT(AA$7,"yyyy-mm-dd"),TAREAS!$J$14)),IF(TAREAS!$I$14="Registro Git","R",IF(TAREAS!$I$14="Despliegue documentado","D","L")),""))</f>
        <v/>
      </c>
      <c r="AB15" s="14" t="str">
        <f>IF(TAREAS!$I$14="Propuesta",IF(AND(AB$7&gt;=TAREAS!$G$14,AB$7&lt;=TAREAS!$H$14,CALENDARIO!$C$32=1),"P",""),IF(ISNUMBER(SEARCH(TEXT(AB$7,"yyyy-mm-dd"),TAREAS!$J$14)),IF(TAREAS!$I$14="Registro Git","R",IF(TAREAS!$I$14="Despliegue documentado","D","L")),""))</f>
        <v/>
      </c>
      <c r="AC15" s="14" t="str">
        <f>IF(TAREAS!$I$14="Propuesta",IF(AND(AC$7&gt;=TAREAS!$G$14,AC$7&lt;=TAREAS!$H$14,CALENDARIO!$C$33=1),"P",""),IF(ISNUMBER(SEARCH(TEXT(AC$7,"yyyy-mm-dd"),TAREAS!$J$14)),IF(TAREAS!$I$14="Registro Git","R",IF(TAREAS!$I$14="Despliegue documentado","D","L")),""))</f>
        <v/>
      </c>
      <c r="AD15" s="15" t="str">
        <f>IF(TAREAS!$I$14="Propuesta",IF(AND(AD$7&gt;=TAREAS!$G$14,AD$7&lt;=TAREAS!$H$14,CALENDARIO!$C$34=1),"P",""),IF(ISNUMBER(SEARCH(TEXT(AD$7,"yyyy-mm-dd"),TAREAS!$J$14)),IF(TAREAS!$I$14="Registro Git","R",IF(TAREAS!$I$14="Despliegue documentado","D","L")),""))</f>
        <v/>
      </c>
      <c r="AE15" s="15" t="str">
        <f>IF(TAREAS!$I$14="Propuesta",IF(AND(AE$7&gt;=TAREAS!$G$14,AE$7&lt;=TAREAS!$H$14,CALENDARIO!$C$35=1),"P",""),IF(ISNUMBER(SEARCH(TEXT(AE$7,"yyyy-mm-dd"),TAREAS!$J$14)),IF(TAREAS!$I$14="Registro Git","R",IF(TAREAS!$I$14="Despliegue documentado","D","L")),""))</f>
        <v/>
      </c>
      <c r="AF15" s="14" t="str">
        <f>IF(TAREAS!$I$14="Propuesta",IF(AND(AF$7&gt;=TAREAS!$G$14,AF$7&lt;=TAREAS!$H$14,CALENDARIO!$C$36=1),"P",""),IF(ISNUMBER(SEARCH(TEXT(AF$7,"yyyy-mm-dd"),TAREAS!$J$14)),IF(TAREAS!$I$14="Registro Git","R",IF(TAREAS!$I$14="Despliegue documentado","D","L")),""))</f>
        <v/>
      </c>
      <c r="AG15" s="14" t="str">
        <f>IF(TAREAS!$I$14="Propuesta",IF(AND(AG$7&gt;=TAREAS!$G$14,AG$7&lt;=TAREAS!$H$14,CALENDARIO!$C$37=1),"P",""),IF(ISNUMBER(SEARCH(TEXT(AG$7,"yyyy-mm-dd"),TAREAS!$J$14)),IF(TAREAS!$I$14="Registro Git","R",IF(TAREAS!$I$14="Despliegue documentado","D","L")),""))</f>
        <v/>
      </c>
      <c r="AH15" s="14" t="str">
        <f>IF(TAREAS!$I$14="Propuesta",IF(AND(AH$7&gt;=TAREAS!$G$14,AH$7&lt;=TAREAS!$H$14,CALENDARIO!$C$38=1),"P",""),IF(ISNUMBER(SEARCH(TEXT(AH$7,"yyyy-mm-dd"),TAREAS!$J$14)),IF(TAREAS!$I$14="Registro Git","R",IF(TAREAS!$I$14="Despliegue documentado","D","L")),""))</f>
        <v/>
      </c>
    </row>
    <row r="16" spans="1:34" ht="72" customHeight="1" x14ac:dyDescent="0.25">
      <c r="A16" s="19" t="str">
        <f>TAREAS!C15</f>
        <v>HU-G05 · Como responsable, quiero asignar trabajo y supervisar el cumplimiento.</v>
      </c>
      <c r="B16" s="12" t="str">
        <f>TAREAS!A15&amp;" · "&amp;TAREAS!D15</f>
        <v>T-011 · Gestión operativa y roles</v>
      </c>
      <c r="C16" s="12" t="str">
        <f>TAREAS!F15</f>
        <v>yeiserDev</v>
      </c>
      <c r="D16" s="13">
        <f t="shared" si="0"/>
        <v>1</v>
      </c>
      <c r="E16" s="14" t="str">
        <f>IF(TAREAS!$I$15="Propuesta",IF(AND(E$7&gt;=TAREAS!$G$15,E$7&lt;=TAREAS!$H$15,CALENDARIO!$C$9=1),"P",""),IF(ISNUMBER(SEARCH(TEXT(E$7,"yyyy-mm-dd"),TAREAS!$J$15)),IF(TAREAS!$I$15="Registro Git","R",IF(TAREAS!$I$15="Despliegue documentado","D","L")),""))</f>
        <v/>
      </c>
      <c r="F16" s="14" t="str">
        <f>IF(TAREAS!$I$15="Propuesta",IF(AND(F$7&gt;=TAREAS!$G$15,F$7&lt;=TAREAS!$H$15,CALENDARIO!$C$10=1),"P",""),IF(ISNUMBER(SEARCH(TEXT(F$7,"yyyy-mm-dd"),TAREAS!$J$15)),IF(TAREAS!$I$15="Registro Git","R",IF(TAREAS!$I$15="Despliegue documentado","D","L")),""))</f>
        <v/>
      </c>
      <c r="G16" s="14" t="str">
        <f>IF(TAREAS!$I$15="Propuesta",IF(AND(G$7&gt;=TAREAS!$G$15,G$7&lt;=TAREAS!$H$15,CALENDARIO!$C$11=1),"P",""),IF(ISNUMBER(SEARCH(TEXT(G$7,"yyyy-mm-dd"),TAREAS!$J$15)),IF(TAREAS!$I$15="Registro Git","R",IF(TAREAS!$I$15="Despliegue documentado","D","L")),""))</f>
        <v/>
      </c>
      <c r="H16" s="14" t="str">
        <f>IF(TAREAS!$I$15="Propuesta",IF(AND(H$7&gt;=TAREAS!$G$15,H$7&lt;=TAREAS!$H$15,CALENDARIO!$C$12=1),"P",""),IF(ISNUMBER(SEARCH(TEXT(H$7,"yyyy-mm-dd"),TAREAS!$J$15)),IF(TAREAS!$I$15="Registro Git","R",IF(TAREAS!$I$15="Despliegue documentado","D","L")),""))</f>
        <v/>
      </c>
      <c r="I16" s="15" t="str">
        <f>IF(TAREAS!$I$15="Propuesta",IF(AND(I$7&gt;=TAREAS!$G$15,I$7&lt;=TAREAS!$H$15,CALENDARIO!$C$13=1),"P",""),IF(ISNUMBER(SEARCH(TEXT(I$7,"yyyy-mm-dd"),TAREAS!$J$15)),IF(TAREAS!$I$15="Registro Git","R",IF(TAREAS!$I$15="Despliegue documentado","D","L")),""))</f>
        <v/>
      </c>
      <c r="J16" s="15" t="str">
        <f>IF(TAREAS!$I$15="Propuesta",IF(AND(J$7&gt;=TAREAS!$G$15,J$7&lt;=TAREAS!$H$15,CALENDARIO!$C$14=1),"P",""),IF(ISNUMBER(SEARCH(TEXT(J$7,"yyyy-mm-dd"),TAREAS!$J$15)),IF(TAREAS!$I$15="Registro Git","R",IF(TAREAS!$I$15="Despliegue documentado","D","L")),""))</f>
        <v/>
      </c>
      <c r="K16" s="14" t="str">
        <f>IF(TAREAS!$I$15="Propuesta",IF(AND(K$7&gt;=TAREAS!$G$15,K$7&lt;=TAREAS!$H$15,CALENDARIO!$C$15=1),"P",""),IF(ISNUMBER(SEARCH(TEXT(K$7,"yyyy-mm-dd"),TAREAS!$J$15)),IF(TAREAS!$I$15="Registro Git","R",IF(TAREAS!$I$15="Despliegue documentado","D","L")),""))</f>
        <v/>
      </c>
      <c r="L16" s="14" t="str">
        <f>IF(TAREAS!$I$15="Propuesta",IF(AND(L$7&gt;=TAREAS!$G$15,L$7&lt;=TAREAS!$H$15,CALENDARIO!$C$16=1),"P",""),IF(ISNUMBER(SEARCH(TEXT(L$7,"yyyy-mm-dd"),TAREAS!$J$15)),IF(TAREAS!$I$15="Registro Git","R",IF(TAREAS!$I$15="Despliegue documentado","D","L")),""))</f>
        <v/>
      </c>
      <c r="M16" s="14" t="str">
        <f>IF(TAREAS!$I$15="Propuesta",IF(AND(M$7&gt;=TAREAS!$G$15,M$7&lt;=TAREAS!$H$15,CALENDARIO!$C$17=1),"P",""),IF(ISNUMBER(SEARCH(TEXT(M$7,"yyyy-mm-dd"),TAREAS!$J$15)),IF(TAREAS!$I$15="Registro Git","R",IF(TAREAS!$I$15="Despliegue documentado","D","L")),""))</f>
        <v/>
      </c>
      <c r="N16" s="14" t="str">
        <f>IF(TAREAS!$I$15="Propuesta",IF(AND(N$7&gt;=TAREAS!$G$15,N$7&lt;=TAREAS!$H$15,CALENDARIO!$C$18=1),"P",""),IF(ISNUMBER(SEARCH(TEXT(N$7,"yyyy-mm-dd"),TAREAS!$J$15)),IF(TAREAS!$I$15="Registro Git","R",IF(TAREAS!$I$15="Despliegue documentado","D","L")),""))</f>
        <v/>
      </c>
      <c r="O16" s="14" t="str">
        <f>IF(TAREAS!$I$15="Propuesta",IF(AND(O$7&gt;=TAREAS!$G$15,O$7&lt;=TAREAS!$H$15,CALENDARIO!$C$19=1),"P",""),IF(ISNUMBER(SEARCH(TEXT(O$7,"yyyy-mm-dd"),TAREAS!$J$15)),IF(TAREAS!$I$15="Registro Git","R",IF(TAREAS!$I$15="Despliegue documentado","D","L")),""))</f>
        <v>R</v>
      </c>
      <c r="P16" s="15" t="str">
        <f>IF(TAREAS!$I$15="Propuesta",IF(AND(P$7&gt;=TAREAS!$G$15,P$7&lt;=TAREAS!$H$15,CALENDARIO!$C$20=1),"P",""),IF(ISNUMBER(SEARCH(TEXT(P$7,"yyyy-mm-dd"),TAREAS!$J$15)),IF(TAREAS!$I$15="Registro Git","R",IF(TAREAS!$I$15="Despliegue documentado","D","L")),""))</f>
        <v/>
      </c>
      <c r="Q16" s="15" t="str">
        <f>IF(TAREAS!$I$15="Propuesta",IF(AND(Q$7&gt;=TAREAS!$G$15,Q$7&lt;=TAREAS!$H$15,CALENDARIO!$C$21=1),"P",""),IF(ISNUMBER(SEARCH(TEXT(Q$7,"yyyy-mm-dd"),TAREAS!$J$15)),IF(TAREAS!$I$15="Registro Git","R",IF(TAREAS!$I$15="Despliegue documentado","D","L")),""))</f>
        <v/>
      </c>
      <c r="R16" s="14" t="str">
        <f>IF(TAREAS!$I$15="Propuesta",IF(AND(R$7&gt;=TAREAS!$G$15,R$7&lt;=TAREAS!$H$15,CALENDARIO!$C$22=1),"P",""),IF(ISNUMBER(SEARCH(TEXT(R$7,"yyyy-mm-dd"),TAREAS!$J$15)),IF(TAREAS!$I$15="Registro Git","R",IF(TAREAS!$I$15="Despliegue documentado","D","L")),""))</f>
        <v/>
      </c>
      <c r="S16" s="14" t="str">
        <f>IF(TAREAS!$I$15="Propuesta",IF(AND(S$7&gt;=TAREAS!$G$15,S$7&lt;=TAREAS!$H$15,CALENDARIO!$C$23=1),"P",""),IF(ISNUMBER(SEARCH(TEXT(S$7,"yyyy-mm-dd"),TAREAS!$J$15)),IF(TAREAS!$I$15="Registro Git","R",IF(TAREAS!$I$15="Despliegue documentado","D","L")),""))</f>
        <v/>
      </c>
      <c r="T16" s="14" t="str">
        <f>IF(TAREAS!$I$15="Propuesta",IF(AND(T$7&gt;=TAREAS!$G$15,T$7&lt;=TAREAS!$H$15,CALENDARIO!$C$24=1),"P",""),IF(ISNUMBER(SEARCH(TEXT(T$7,"yyyy-mm-dd"),TAREAS!$J$15)),IF(TAREAS!$I$15="Registro Git","R",IF(TAREAS!$I$15="Despliegue documentado","D","L")),""))</f>
        <v/>
      </c>
      <c r="U16" s="14" t="str">
        <f>IF(TAREAS!$I$15="Propuesta",IF(AND(U$7&gt;=TAREAS!$G$15,U$7&lt;=TAREAS!$H$15,CALENDARIO!$C$25=1),"P",""),IF(ISNUMBER(SEARCH(TEXT(U$7,"yyyy-mm-dd"),TAREAS!$J$15)),IF(TAREAS!$I$15="Registro Git","R",IF(TAREAS!$I$15="Despliegue documentado","D","L")),""))</f>
        <v/>
      </c>
      <c r="V16" s="14" t="str">
        <f>IF(TAREAS!$I$15="Propuesta",IF(AND(V$7&gt;=TAREAS!$G$15,V$7&lt;=TAREAS!$H$15,CALENDARIO!$C$26=1),"P",""),IF(ISNUMBER(SEARCH(TEXT(V$7,"yyyy-mm-dd"),TAREAS!$J$15)),IF(TAREAS!$I$15="Registro Git","R",IF(TAREAS!$I$15="Despliegue documentado","D","L")),""))</f>
        <v/>
      </c>
      <c r="W16" s="15" t="str">
        <f>IF(TAREAS!$I$15="Propuesta",IF(AND(W$7&gt;=TAREAS!$G$15,W$7&lt;=TAREAS!$H$15,CALENDARIO!$C$27=1),"P",""),IF(ISNUMBER(SEARCH(TEXT(W$7,"yyyy-mm-dd"),TAREAS!$J$15)),IF(TAREAS!$I$15="Registro Git","R",IF(TAREAS!$I$15="Despliegue documentado","D","L")),""))</f>
        <v/>
      </c>
      <c r="X16" s="15" t="str">
        <f>IF(TAREAS!$I$15="Propuesta",IF(AND(X$7&gt;=TAREAS!$G$15,X$7&lt;=TAREAS!$H$15,CALENDARIO!$C$28=1),"P",""),IF(ISNUMBER(SEARCH(TEXT(X$7,"yyyy-mm-dd"),TAREAS!$J$15)),IF(TAREAS!$I$15="Registro Git","R",IF(TAREAS!$I$15="Despliegue documentado","D","L")),""))</f>
        <v/>
      </c>
      <c r="Y16" s="14" t="str">
        <f>IF(TAREAS!$I$15="Propuesta",IF(AND(Y$7&gt;=TAREAS!$G$15,Y$7&lt;=TAREAS!$H$15,CALENDARIO!$C$29=1),"P",""),IF(ISNUMBER(SEARCH(TEXT(Y$7,"yyyy-mm-dd"),TAREAS!$J$15)),IF(TAREAS!$I$15="Registro Git","R",IF(TAREAS!$I$15="Despliegue documentado","D","L")),""))</f>
        <v/>
      </c>
      <c r="Z16" s="14" t="str">
        <f>IF(TAREAS!$I$15="Propuesta",IF(AND(Z$7&gt;=TAREAS!$G$15,Z$7&lt;=TAREAS!$H$15,CALENDARIO!$C$30=1),"P",""),IF(ISNUMBER(SEARCH(TEXT(Z$7,"yyyy-mm-dd"),TAREAS!$J$15)),IF(TAREAS!$I$15="Registro Git","R",IF(TAREAS!$I$15="Despliegue documentado","D","L")),""))</f>
        <v/>
      </c>
      <c r="AA16" s="14" t="str">
        <f>IF(TAREAS!$I$15="Propuesta",IF(AND(AA$7&gt;=TAREAS!$G$15,AA$7&lt;=TAREAS!$H$15,CALENDARIO!$C$31=1),"P",""),IF(ISNUMBER(SEARCH(TEXT(AA$7,"yyyy-mm-dd"),TAREAS!$J$15)),IF(TAREAS!$I$15="Registro Git","R",IF(TAREAS!$I$15="Despliegue documentado","D","L")),""))</f>
        <v/>
      </c>
      <c r="AB16" s="14" t="str">
        <f>IF(TAREAS!$I$15="Propuesta",IF(AND(AB$7&gt;=TAREAS!$G$15,AB$7&lt;=TAREAS!$H$15,CALENDARIO!$C$32=1),"P",""),IF(ISNUMBER(SEARCH(TEXT(AB$7,"yyyy-mm-dd"),TAREAS!$J$15)),IF(TAREAS!$I$15="Registro Git","R",IF(TAREAS!$I$15="Despliegue documentado","D","L")),""))</f>
        <v/>
      </c>
      <c r="AC16" s="14" t="str">
        <f>IF(TAREAS!$I$15="Propuesta",IF(AND(AC$7&gt;=TAREAS!$G$15,AC$7&lt;=TAREAS!$H$15,CALENDARIO!$C$33=1),"P",""),IF(ISNUMBER(SEARCH(TEXT(AC$7,"yyyy-mm-dd"),TAREAS!$J$15)),IF(TAREAS!$I$15="Registro Git","R",IF(TAREAS!$I$15="Despliegue documentado","D","L")),""))</f>
        <v/>
      </c>
      <c r="AD16" s="15" t="str">
        <f>IF(TAREAS!$I$15="Propuesta",IF(AND(AD$7&gt;=TAREAS!$G$15,AD$7&lt;=TAREAS!$H$15,CALENDARIO!$C$34=1),"P",""),IF(ISNUMBER(SEARCH(TEXT(AD$7,"yyyy-mm-dd"),TAREAS!$J$15)),IF(TAREAS!$I$15="Registro Git","R",IF(TAREAS!$I$15="Despliegue documentado","D","L")),""))</f>
        <v/>
      </c>
      <c r="AE16" s="15" t="str">
        <f>IF(TAREAS!$I$15="Propuesta",IF(AND(AE$7&gt;=TAREAS!$G$15,AE$7&lt;=TAREAS!$H$15,CALENDARIO!$C$35=1),"P",""),IF(ISNUMBER(SEARCH(TEXT(AE$7,"yyyy-mm-dd"),TAREAS!$J$15)),IF(TAREAS!$I$15="Registro Git","R",IF(TAREAS!$I$15="Despliegue documentado","D","L")),""))</f>
        <v/>
      </c>
      <c r="AF16" s="14" t="str">
        <f>IF(TAREAS!$I$15="Propuesta",IF(AND(AF$7&gt;=TAREAS!$G$15,AF$7&lt;=TAREAS!$H$15,CALENDARIO!$C$36=1),"P",""),IF(ISNUMBER(SEARCH(TEXT(AF$7,"yyyy-mm-dd"),TAREAS!$J$15)),IF(TAREAS!$I$15="Registro Git","R",IF(TAREAS!$I$15="Despliegue documentado","D","L")),""))</f>
        <v/>
      </c>
      <c r="AG16" s="14" t="str">
        <f>IF(TAREAS!$I$15="Propuesta",IF(AND(AG$7&gt;=TAREAS!$G$15,AG$7&lt;=TAREAS!$H$15,CALENDARIO!$C$37=1),"P",""),IF(ISNUMBER(SEARCH(TEXT(AG$7,"yyyy-mm-dd"),TAREAS!$J$15)),IF(TAREAS!$I$15="Registro Git","R",IF(TAREAS!$I$15="Despliegue documentado","D","L")),""))</f>
        <v/>
      </c>
      <c r="AH16" s="14" t="str">
        <f>IF(TAREAS!$I$15="Propuesta",IF(AND(AH$7&gt;=TAREAS!$G$15,AH$7&lt;=TAREAS!$H$15,CALENDARIO!$C$38=1),"P",""),IF(ISNUMBER(SEARCH(TEXT(AH$7,"yyyy-mm-dd"),TAREAS!$J$15)),IF(TAREAS!$I$15="Registro Git","R",IF(TAREAS!$I$15="Despliegue documentado","D","L")),""))</f>
        <v/>
      </c>
    </row>
    <row r="17" spans="1:34" ht="72" customHeight="1" x14ac:dyDescent="0.25">
      <c r="A17" s="11" t="str">
        <f>TAREAS!C16</f>
        <v>HU-G07 · Como Marketing, quiero revisar y preparar publicaciones autorizadas.</v>
      </c>
      <c r="B17" s="12" t="str">
        <f>TAREAS!A16&amp;" · "&amp;TAREAS!D16</f>
        <v>T-012 · Activación técnica parcial de Marketing documentada</v>
      </c>
      <c r="C17" s="12" t="str">
        <f>TAREAS!F16</f>
        <v>Por confirmar</v>
      </c>
      <c r="D17" s="13">
        <f t="shared" si="0"/>
        <v>1</v>
      </c>
      <c r="E17" s="14" t="str">
        <f>IF(TAREAS!$I$16="Propuesta",IF(AND(E$7&gt;=TAREAS!$G$16,E$7&lt;=TAREAS!$H$16,CALENDARIO!$C$9=1),"P",""),IF(ISNUMBER(SEARCH(TEXT(E$7,"yyyy-mm-dd"),TAREAS!$J$16)),IF(TAREAS!$I$16="Registro Git","R",IF(TAREAS!$I$16="Despliegue documentado","D","L")),""))</f>
        <v/>
      </c>
      <c r="F17" s="14" t="str">
        <f>IF(TAREAS!$I$16="Propuesta",IF(AND(F$7&gt;=TAREAS!$G$16,F$7&lt;=TAREAS!$H$16,CALENDARIO!$C$10=1),"P",""),IF(ISNUMBER(SEARCH(TEXT(F$7,"yyyy-mm-dd"),TAREAS!$J$16)),IF(TAREAS!$I$16="Registro Git","R",IF(TAREAS!$I$16="Despliegue documentado","D","L")),""))</f>
        <v/>
      </c>
      <c r="G17" s="14" t="str">
        <f>IF(TAREAS!$I$16="Propuesta",IF(AND(G$7&gt;=TAREAS!$G$16,G$7&lt;=TAREAS!$H$16,CALENDARIO!$C$11=1),"P",""),IF(ISNUMBER(SEARCH(TEXT(G$7,"yyyy-mm-dd"),TAREAS!$J$16)),IF(TAREAS!$I$16="Registro Git","R",IF(TAREAS!$I$16="Despliegue documentado","D","L")),""))</f>
        <v/>
      </c>
      <c r="H17" s="14" t="str">
        <f>IF(TAREAS!$I$16="Propuesta",IF(AND(H$7&gt;=TAREAS!$G$16,H$7&lt;=TAREAS!$H$16,CALENDARIO!$C$12=1),"P",""),IF(ISNUMBER(SEARCH(TEXT(H$7,"yyyy-mm-dd"),TAREAS!$J$16)),IF(TAREAS!$I$16="Registro Git","R",IF(TAREAS!$I$16="Despliegue documentado","D","L")),""))</f>
        <v/>
      </c>
      <c r="I17" s="15" t="str">
        <f>IF(TAREAS!$I$16="Propuesta",IF(AND(I$7&gt;=TAREAS!$G$16,I$7&lt;=TAREAS!$H$16,CALENDARIO!$C$13=1),"P",""),IF(ISNUMBER(SEARCH(TEXT(I$7,"yyyy-mm-dd"),TAREAS!$J$16)),IF(TAREAS!$I$16="Registro Git","R",IF(TAREAS!$I$16="Despliegue documentado","D","L")),""))</f>
        <v/>
      </c>
      <c r="J17" s="15" t="str">
        <f>IF(TAREAS!$I$16="Propuesta",IF(AND(J$7&gt;=TAREAS!$G$16,J$7&lt;=TAREAS!$H$16,CALENDARIO!$C$14=1),"P",""),IF(ISNUMBER(SEARCH(TEXT(J$7,"yyyy-mm-dd"),TAREAS!$J$16)),IF(TAREAS!$I$16="Registro Git","R",IF(TAREAS!$I$16="Despliegue documentado","D","L")),""))</f>
        <v/>
      </c>
      <c r="K17" s="14" t="str">
        <f>IF(TAREAS!$I$16="Propuesta",IF(AND(K$7&gt;=TAREAS!$G$16,K$7&lt;=TAREAS!$H$16,CALENDARIO!$C$15=1),"P",""),IF(ISNUMBER(SEARCH(TEXT(K$7,"yyyy-mm-dd"),TAREAS!$J$16)),IF(TAREAS!$I$16="Registro Git","R",IF(TAREAS!$I$16="Despliegue documentado","D","L")),""))</f>
        <v/>
      </c>
      <c r="L17" s="14" t="str">
        <f>IF(TAREAS!$I$16="Propuesta",IF(AND(L$7&gt;=TAREAS!$G$16,L$7&lt;=TAREAS!$H$16,CALENDARIO!$C$16=1),"P",""),IF(ISNUMBER(SEARCH(TEXT(L$7,"yyyy-mm-dd"),TAREAS!$J$16)),IF(TAREAS!$I$16="Registro Git","R",IF(TAREAS!$I$16="Despliegue documentado","D","L")),""))</f>
        <v/>
      </c>
      <c r="M17" s="14" t="str">
        <f>IF(TAREAS!$I$16="Propuesta",IF(AND(M$7&gt;=TAREAS!$G$16,M$7&lt;=TAREAS!$H$16,CALENDARIO!$C$17=1),"P",""),IF(ISNUMBER(SEARCH(TEXT(M$7,"yyyy-mm-dd"),TAREAS!$J$16)),IF(TAREAS!$I$16="Registro Git","R",IF(TAREAS!$I$16="Despliegue documentado","D","L")),""))</f>
        <v/>
      </c>
      <c r="N17" s="14" t="str">
        <f>IF(TAREAS!$I$16="Propuesta",IF(AND(N$7&gt;=TAREAS!$G$16,N$7&lt;=TAREAS!$H$16,CALENDARIO!$C$18=1),"P",""),IF(ISNUMBER(SEARCH(TEXT(N$7,"yyyy-mm-dd"),TAREAS!$J$16)),IF(TAREAS!$I$16="Registro Git","R",IF(TAREAS!$I$16="Despliegue documentado","D","L")),""))</f>
        <v/>
      </c>
      <c r="O17" s="14" t="str">
        <f>IF(TAREAS!$I$16="Propuesta",IF(AND(O$7&gt;=TAREAS!$G$16,O$7&lt;=TAREAS!$H$16,CALENDARIO!$C$19=1),"P",""),IF(ISNUMBER(SEARCH(TEXT(O$7,"yyyy-mm-dd"),TAREAS!$J$16)),IF(TAREAS!$I$16="Registro Git","R",IF(TAREAS!$I$16="Despliegue documentado","D","L")),""))</f>
        <v/>
      </c>
      <c r="P17" s="15" t="str">
        <f>IF(TAREAS!$I$16="Propuesta",IF(AND(P$7&gt;=TAREAS!$G$16,P$7&lt;=TAREAS!$H$16,CALENDARIO!$C$20=1),"P",""),IF(ISNUMBER(SEARCH(TEXT(P$7,"yyyy-mm-dd"),TAREAS!$J$16)),IF(TAREAS!$I$16="Registro Git","R",IF(TAREAS!$I$16="Despliegue documentado","D","L")),""))</f>
        <v>D</v>
      </c>
      <c r="Q17" s="15" t="str">
        <f>IF(TAREAS!$I$16="Propuesta",IF(AND(Q$7&gt;=TAREAS!$G$16,Q$7&lt;=TAREAS!$H$16,CALENDARIO!$C$21=1),"P",""),IF(ISNUMBER(SEARCH(TEXT(Q$7,"yyyy-mm-dd"),TAREAS!$J$16)),IF(TAREAS!$I$16="Registro Git","R",IF(TAREAS!$I$16="Despliegue documentado","D","L")),""))</f>
        <v/>
      </c>
      <c r="R17" s="14" t="str">
        <f>IF(TAREAS!$I$16="Propuesta",IF(AND(R$7&gt;=TAREAS!$G$16,R$7&lt;=TAREAS!$H$16,CALENDARIO!$C$22=1),"P",""),IF(ISNUMBER(SEARCH(TEXT(R$7,"yyyy-mm-dd"),TAREAS!$J$16)),IF(TAREAS!$I$16="Registro Git","R",IF(TAREAS!$I$16="Despliegue documentado","D","L")),""))</f>
        <v/>
      </c>
      <c r="S17" s="14" t="str">
        <f>IF(TAREAS!$I$16="Propuesta",IF(AND(S$7&gt;=TAREAS!$G$16,S$7&lt;=TAREAS!$H$16,CALENDARIO!$C$23=1),"P",""),IF(ISNUMBER(SEARCH(TEXT(S$7,"yyyy-mm-dd"),TAREAS!$J$16)),IF(TAREAS!$I$16="Registro Git","R",IF(TAREAS!$I$16="Despliegue documentado","D","L")),""))</f>
        <v/>
      </c>
      <c r="T17" s="14" t="str">
        <f>IF(TAREAS!$I$16="Propuesta",IF(AND(T$7&gt;=TAREAS!$G$16,T$7&lt;=TAREAS!$H$16,CALENDARIO!$C$24=1),"P",""),IF(ISNUMBER(SEARCH(TEXT(T$7,"yyyy-mm-dd"),TAREAS!$J$16)),IF(TAREAS!$I$16="Registro Git","R",IF(TAREAS!$I$16="Despliegue documentado","D","L")),""))</f>
        <v/>
      </c>
      <c r="U17" s="14" t="str">
        <f>IF(TAREAS!$I$16="Propuesta",IF(AND(U$7&gt;=TAREAS!$G$16,U$7&lt;=TAREAS!$H$16,CALENDARIO!$C$25=1),"P",""),IF(ISNUMBER(SEARCH(TEXT(U$7,"yyyy-mm-dd"),TAREAS!$J$16)),IF(TAREAS!$I$16="Registro Git","R",IF(TAREAS!$I$16="Despliegue documentado","D","L")),""))</f>
        <v/>
      </c>
      <c r="V17" s="14" t="str">
        <f>IF(TAREAS!$I$16="Propuesta",IF(AND(V$7&gt;=TAREAS!$G$16,V$7&lt;=TAREAS!$H$16,CALENDARIO!$C$26=1),"P",""),IF(ISNUMBER(SEARCH(TEXT(V$7,"yyyy-mm-dd"),TAREAS!$J$16)),IF(TAREAS!$I$16="Registro Git","R",IF(TAREAS!$I$16="Despliegue documentado","D","L")),""))</f>
        <v/>
      </c>
      <c r="W17" s="15" t="str">
        <f>IF(TAREAS!$I$16="Propuesta",IF(AND(W$7&gt;=TAREAS!$G$16,W$7&lt;=TAREAS!$H$16,CALENDARIO!$C$27=1),"P",""),IF(ISNUMBER(SEARCH(TEXT(W$7,"yyyy-mm-dd"),TAREAS!$J$16)),IF(TAREAS!$I$16="Registro Git","R",IF(TAREAS!$I$16="Despliegue documentado","D","L")),""))</f>
        <v/>
      </c>
      <c r="X17" s="15" t="str">
        <f>IF(TAREAS!$I$16="Propuesta",IF(AND(X$7&gt;=TAREAS!$G$16,X$7&lt;=TAREAS!$H$16,CALENDARIO!$C$28=1),"P",""),IF(ISNUMBER(SEARCH(TEXT(X$7,"yyyy-mm-dd"),TAREAS!$J$16)),IF(TAREAS!$I$16="Registro Git","R",IF(TAREAS!$I$16="Despliegue documentado","D","L")),""))</f>
        <v/>
      </c>
      <c r="Y17" s="14" t="str">
        <f>IF(TAREAS!$I$16="Propuesta",IF(AND(Y$7&gt;=TAREAS!$G$16,Y$7&lt;=TAREAS!$H$16,CALENDARIO!$C$29=1),"P",""),IF(ISNUMBER(SEARCH(TEXT(Y$7,"yyyy-mm-dd"),TAREAS!$J$16)),IF(TAREAS!$I$16="Registro Git","R",IF(TAREAS!$I$16="Despliegue documentado","D","L")),""))</f>
        <v/>
      </c>
      <c r="Z17" s="14" t="str">
        <f>IF(TAREAS!$I$16="Propuesta",IF(AND(Z$7&gt;=TAREAS!$G$16,Z$7&lt;=TAREAS!$H$16,CALENDARIO!$C$30=1),"P",""),IF(ISNUMBER(SEARCH(TEXT(Z$7,"yyyy-mm-dd"),TAREAS!$J$16)),IF(TAREAS!$I$16="Registro Git","R",IF(TAREAS!$I$16="Despliegue documentado","D","L")),""))</f>
        <v/>
      </c>
      <c r="AA17" s="14" t="str">
        <f>IF(TAREAS!$I$16="Propuesta",IF(AND(AA$7&gt;=TAREAS!$G$16,AA$7&lt;=TAREAS!$H$16,CALENDARIO!$C$31=1),"P",""),IF(ISNUMBER(SEARCH(TEXT(AA$7,"yyyy-mm-dd"),TAREAS!$J$16)),IF(TAREAS!$I$16="Registro Git","R",IF(TAREAS!$I$16="Despliegue documentado","D","L")),""))</f>
        <v/>
      </c>
      <c r="AB17" s="14" t="str">
        <f>IF(TAREAS!$I$16="Propuesta",IF(AND(AB$7&gt;=TAREAS!$G$16,AB$7&lt;=TAREAS!$H$16,CALENDARIO!$C$32=1),"P",""),IF(ISNUMBER(SEARCH(TEXT(AB$7,"yyyy-mm-dd"),TAREAS!$J$16)),IF(TAREAS!$I$16="Registro Git","R",IF(TAREAS!$I$16="Despliegue documentado","D","L")),""))</f>
        <v/>
      </c>
      <c r="AC17" s="14" t="str">
        <f>IF(TAREAS!$I$16="Propuesta",IF(AND(AC$7&gt;=TAREAS!$G$16,AC$7&lt;=TAREAS!$H$16,CALENDARIO!$C$33=1),"P",""),IF(ISNUMBER(SEARCH(TEXT(AC$7,"yyyy-mm-dd"),TAREAS!$J$16)),IF(TAREAS!$I$16="Registro Git","R",IF(TAREAS!$I$16="Despliegue documentado","D","L")),""))</f>
        <v/>
      </c>
      <c r="AD17" s="15" t="str">
        <f>IF(TAREAS!$I$16="Propuesta",IF(AND(AD$7&gt;=TAREAS!$G$16,AD$7&lt;=TAREAS!$H$16,CALENDARIO!$C$34=1),"P",""),IF(ISNUMBER(SEARCH(TEXT(AD$7,"yyyy-mm-dd"),TAREAS!$J$16)),IF(TAREAS!$I$16="Registro Git","R",IF(TAREAS!$I$16="Despliegue documentado","D","L")),""))</f>
        <v/>
      </c>
      <c r="AE17" s="15" t="str">
        <f>IF(TAREAS!$I$16="Propuesta",IF(AND(AE$7&gt;=TAREAS!$G$16,AE$7&lt;=TAREAS!$H$16,CALENDARIO!$C$35=1),"P",""),IF(ISNUMBER(SEARCH(TEXT(AE$7,"yyyy-mm-dd"),TAREAS!$J$16)),IF(TAREAS!$I$16="Registro Git","R",IF(TAREAS!$I$16="Despliegue documentado","D","L")),""))</f>
        <v/>
      </c>
      <c r="AF17" s="14" t="str">
        <f>IF(TAREAS!$I$16="Propuesta",IF(AND(AF$7&gt;=TAREAS!$G$16,AF$7&lt;=TAREAS!$H$16,CALENDARIO!$C$36=1),"P",""),IF(ISNUMBER(SEARCH(TEXT(AF$7,"yyyy-mm-dd"),TAREAS!$J$16)),IF(TAREAS!$I$16="Registro Git","R",IF(TAREAS!$I$16="Despliegue documentado","D","L")),""))</f>
        <v/>
      </c>
      <c r="AG17" s="14" t="str">
        <f>IF(TAREAS!$I$16="Propuesta",IF(AND(AG$7&gt;=TAREAS!$G$16,AG$7&lt;=TAREAS!$H$16,CALENDARIO!$C$37=1),"P",""),IF(ISNUMBER(SEARCH(TEXT(AG$7,"yyyy-mm-dd"),TAREAS!$J$16)),IF(TAREAS!$I$16="Registro Git","R",IF(TAREAS!$I$16="Despliegue documentado","D","L")),""))</f>
        <v/>
      </c>
      <c r="AH17" s="14" t="str">
        <f>IF(TAREAS!$I$16="Propuesta",IF(AND(AH$7&gt;=TAREAS!$G$16,AH$7&lt;=TAREAS!$H$16,CALENDARIO!$C$38=1),"P",""),IF(ISNUMBER(SEARCH(TEXT(AH$7,"yyyy-mm-dd"),TAREAS!$J$16)),IF(TAREAS!$I$16="Registro Git","R",IF(TAREAS!$I$16="Despliegue documentado","D","L")),""))</f>
        <v/>
      </c>
    </row>
    <row r="18" spans="1:34" ht="72" customHeight="1" x14ac:dyDescent="0.25">
      <c r="A18" s="20" t="str">
        <f>TAREAS!C17</f>
        <v>HU-G06 · Como usuario, quiero comunicarme con mi equipo y consultar avisos.</v>
      </c>
      <c r="B18" s="12" t="str">
        <f>TAREAS!A17&amp;" · "&amp;TAREAS!D17</f>
        <v>T-013 · Integración de chat privado y ajustes móviles</v>
      </c>
      <c r="C18" s="12" t="str">
        <f>TAREAS!F17</f>
        <v>yeiserDev</v>
      </c>
      <c r="D18" s="13">
        <f t="shared" si="0"/>
        <v>1</v>
      </c>
      <c r="E18" s="14" t="str">
        <f>IF(TAREAS!$I$17="Propuesta",IF(AND(E$7&gt;=TAREAS!$G$17,E$7&lt;=TAREAS!$H$17,CALENDARIO!$C$9=1),"P",""),IF(ISNUMBER(SEARCH(TEXT(E$7,"yyyy-mm-dd"),TAREAS!$J$17)),IF(TAREAS!$I$17="Registro Git","R",IF(TAREAS!$I$17="Despliegue documentado","D","L")),""))</f>
        <v/>
      </c>
      <c r="F18" s="14" t="str">
        <f>IF(TAREAS!$I$17="Propuesta",IF(AND(F$7&gt;=TAREAS!$G$17,F$7&lt;=TAREAS!$H$17,CALENDARIO!$C$10=1),"P",""),IF(ISNUMBER(SEARCH(TEXT(F$7,"yyyy-mm-dd"),TAREAS!$J$17)),IF(TAREAS!$I$17="Registro Git","R",IF(TAREAS!$I$17="Despliegue documentado","D","L")),""))</f>
        <v/>
      </c>
      <c r="G18" s="14" t="str">
        <f>IF(TAREAS!$I$17="Propuesta",IF(AND(G$7&gt;=TAREAS!$G$17,G$7&lt;=TAREAS!$H$17,CALENDARIO!$C$11=1),"P",""),IF(ISNUMBER(SEARCH(TEXT(G$7,"yyyy-mm-dd"),TAREAS!$J$17)),IF(TAREAS!$I$17="Registro Git","R",IF(TAREAS!$I$17="Despliegue documentado","D","L")),""))</f>
        <v/>
      </c>
      <c r="H18" s="14" t="str">
        <f>IF(TAREAS!$I$17="Propuesta",IF(AND(H$7&gt;=TAREAS!$G$17,H$7&lt;=TAREAS!$H$17,CALENDARIO!$C$12=1),"P",""),IF(ISNUMBER(SEARCH(TEXT(H$7,"yyyy-mm-dd"),TAREAS!$J$17)),IF(TAREAS!$I$17="Registro Git","R",IF(TAREAS!$I$17="Despliegue documentado","D","L")),""))</f>
        <v/>
      </c>
      <c r="I18" s="15" t="str">
        <f>IF(TAREAS!$I$17="Propuesta",IF(AND(I$7&gt;=TAREAS!$G$17,I$7&lt;=TAREAS!$H$17,CALENDARIO!$C$13=1),"P",""),IF(ISNUMBER(SEARCH(TEXT(I$7,"yyyy-mm-dd"),TAREAS!$J$17)),IF(TAREAS!$I$17="Registro Git","R",IF(TAREAS!$I$17="Despliegue documentado","D","L")),""))</f>
        <v/>
      </c>
      <c r="J18" s="15" t="str">
        <f>IF(TAREAS!$I$17="Propuesta",IF(AND(J$7&gt;=TAREAS!$G$17,J$7&lt;=TAREAS!$H$17,CALENDARIO!$C$14=1),"P",""),IF(ISNUMBER(SEARCH(TEXT(J$7,"yyyy-mm-dd"),TAREAS!$J$17)),IF(TAREAS!$I$17="Registro Git","R",IF(TAREAS!$I$17="Despliegue documentado","D","L")),""))</f>
        <v/>
      </c>
      <c r="K18" s="14" t="str">
        <f>IF(TAREAS!$I$17="Propuesta",IF(AND(K$7&gt;=TAREAS!$G$17,K$7&lt;=TAREAS!$H$17,CALENDARIO!$C$15=1),"P",""),IF(ISNUMBER(SEARCH(TEXT(K$7,"yyyy-mm-dd"),TAREAS!$J$17)),IF(TAREAS!$I$17="Registro Git","R",IF(TAREAS!$I$17="Despliegue documentado","D","L")),""))</f>
        <v/>
      </c>
      <c r="L18" s="14" t="str">
        <f>IF(TAREAS!$I$17="Propuesta",IF(AND(L$7&gt;=TAREAS!$G$17,L$7&lt;=TAREAS!$H$17,CALENDARIO!$C$16=1),"P",""),IF(ISNUMBER(SEARCH(TEXT(L$7,"yyyy-mm-dd"),TAREAS!$J$17)),IF(TAREAS!$I$17="Registro Git","R",IF(TAREAS!$I$17="Despliegue documentado","D","L")),""))</f>
        <v/>
      </c>
      <c r="M18" s="14" t="str">
        <f>IF(TAREAS!$I$17="Propuesta",IF(AND(M$7&gt;=TAREAS!$G$17,M$7&lt;=TAREAS!$H$17,CALENDARIO!$C$17=1),"P",""),IF(ISNUMBER(SEARCH(TEXT(M$7,"yyyy-mm-dd"),TAREAS!$J$17)),IF(TAREAS!$I$17="Registro Git","R",IF(TAREAS!$I$17="Despliegue documentado","D","L")),""))</f>
        <v/>
      </c>
      <c r="N18" s="14" t="str">
        <f>IF(TAREAS!$I$17="Propuesta",IF(AND(N$7&gt;=TAREAS!$G$17,N$7&lt;=TAREAS!$H$17,CALENDARIO!$C$18=1),"P",""),IF(ISNUMBER(SEARCH(TEXT(N$7,"yyyy-mm-dd"),TAREAS!$J$17)),IF(TAREAS!$I$17="Registro Git","R",IF(TAREAS!$I$17="Despliegue documentado","D","L")),""))</f>
        <v/>
      </c>
      <c r="O18" s="14" t="str">
        <f>IF(TAREAS!$I$17="Propuesta",IF(AND(O$7&gt;=TAREAS!$G$17,O$7&lt;=TAREAS!$H$17,CALENDARIO!$C$19=1),"P",""),IF(ISNUMBER(SEARCH(TEXT(O$7,"yyyy-mm-dd"),TAREAS!$J$17)),IF(TAREAS!$I$17="Registro Git","R",IF(TAREAS!$I$17="Despliegue documentado","D","L")),""))</f>
        <v/>
      </c>
      <c r="P18" s="15" t="str">
        <f>IF(TAREAS!$I$17="Propuesta",IF(AND(P$7&gt;=TAREAS!$G$17,P$7&lt;=TAREAS!$H$17,CALENDARIO!$C$20=1),"P",""),IF(ISNUMBER(SEARCH(TEXT(P$7,"yyyy-mm-dd"),TAREAS!$J$17)),IF(TAREAS!$I$17="Registro Git","R",IF(TAREAS!$I$17="Despliegue documentado","D","L")),""))</f>
        <v/>
      </c>
      <c r="Q18" s="15" t="str">
        <f>IF(TAREAS!$I$17="Propuesta",IF(AND(Q$7&gt;=TAREAS!$G$17,Q$7&lt;=TAREAS!$H$17,CALENDARIO!$C$21=1),"P",""),IF(ISNUMBER(SEARCH(TEXT(Q$7,"yyyy-mm-dd"),TAREAS!$J$17)),IF(TAREAS!$I$17="Registro Git","R",IF(TAREAS!$I$17="Despliegue documentado","D","L")),""))</f>
        <v>R</v>
      </c>
      <c r="R18" s="14" t="str">
        <f>IF(TAREAS!$I$17="Propuesta",IF(AND(R$7&gt;=TAREAS!$G$17,R$7&lt;=TAREAS!$H$17,CALENDARIO!$C$22=1),"P",""),IF(ISNUMBER(SEARCH(TEXT(R$7,"yyyy-mm-dd"),TAREAS!$J$17)),IF(TAREAS!$I$17="Registro Git","R",IF(TAREAS!$I$17="Despliegue documentado","D","L")),""))</f>
        <v/>
      </c>
      <c r="S18" s="14" t="str">
        <f>IF(TAREAS!$I$17="Propuesta",IF(AND(S$7&gt;=TAREAS!$G$17,S$7&lt;=TAREAS!$H$17,CALENDARIO!$C$23=1),"P",""),IF(ISNUMBER(SEARCH(TEXT(S$7,"yyyy-mm-dd"),TAREAS!$J$17)),IF(TAREAS!$I$17="Registro Git","R",IF(TAREAS!$I$17="Despliegue documentado","D","L")),""))</f>
        <v/>
      </c>
      <c r="T18" s="14" t="str">
        <f>IF(TAREAS!$I$17="Propuesta",IF(AND(T$7&gt;=TAREAS!$G$17,T$7&lt;=TAREAS!$H$17,CALENDARIO!$C$24=1),"P",""),IF(ISNUMBER(SEARCH(TEXT(T$7,"yyyy-mm-dd"),TAREAS!$J$17)),IF(TAREAS!$I$17="Registro Git","R",IF(TAREAS!$I$17="Despliegue documentado","D","L")),""))</f>
        <v/>
      </c>
      <c r="U18" s="14" t="str">
        <f>IF(TAREAS!$I$17="Propuesta",IF(AND(U$7&gt;=TAREAS!$G$17,U$7&lt;=TAREAS!$H$17,CALENDARIO!$C$25=1),"P",""),IF(ISNUMBER(SEARCH(TEXT(U$7,"yyyy-mm-dd"),TAREAS!$J$17)),IF(TAREAS!$I$17="Registro Git","R",IF(TAREAS!$I$17="Despliegue documentado","D","L")),""))</f>
        <v/>
      </c>
      <c r="V18" s="14" t="str">
        <f>IF(TAREAS!$I$17="Propuesta",IF(AND(V$7&gt;=TAREAS!$G$17,V$7&lt;=TAREAS!$H$17,CALENDARIO!$C$26=1),"P",""),IF(ISNUMBER(SEARCH(TEXT(V$7,"yyyy-mm-dd"),TAREAS!$J$17)),IF(TAREAS!$I$17="Registro Git","R",IF(TAREAS!$I$17="Despliegue documentado","D","L")),""))</f>
        <v/>
      </c>
      <c r="W18" s="15" t="str">
        <f>IF(TAREAS!$I$17="Propuesta",IF(AND(W$7&gt;=TAREAS!$G$17,W$7&lt;=TAREAS!$H$17,CALENDARIO!$C$27=1),"P",""),IF(ISNUMBER(SEARCH(TEXT(W$7,"yyyy-mm-dd"),TAREAS!$J$17)),IF(TAREAS!$I$17="Registro Git","R",IF(TAREAS!$I$17="Despliegue documentado","D","L")),""))</f>
        <v/>
      </c>
      <c r="X18" s="15" t="str">
        <f>IF(TAREAS!$I$17="Propuesta",IF(AND(X$7&gt;=TAREAS!$G$17,X$7&lt;=TAREAS!$H$17,CALENDARIO!$C$28=1),"P",""),IF(ISNUMBER(SEARCH(TEXT(X$7,"yyyy-mm-dd"),TAREAS!$J$17)),IF(TAREAS!$I$17="Registro Git","R",IF(TAREAS!$I$17="Despliegue documentado","D","L")),""))</f>
        <v/>
      </c>
      <c r="Y18" s="14" t="str">
        <f>IF(TAREAS!$I$17="Propuesta",IF(AND(Y$7&gt;=TAREAS!$G$17,Y$7&lt;=TAREAS!$H$17,CALENDARIO!$C$29=1),"P",""),IF(ISNUMBER(SEARCH(TEXT(Y$7,"yyyy-mm-dd"),TAREAS!$J$17)),IF(TAREAS!$I$17="Registro Git","R",IF(TAREAS!$I$17="Despliegue documentado","D","L")),""))</f>
        <v/>
      </c>
      <c r="Z18" s="14" t="str">
        <f>IF(TAREAS!$I$17="Propuesta",IF(AND(Z$7&gt;=TAREAS!$G$17,Z$7&lt;=TAREAS!$H$17,CALENDARIO!$C$30=1),"P",""),IF(ISNUMBER(SEARCH(TEXT(Z$7,"yyyy-mm-dd"),TAREAS!$J$17)),IF(TAREAS!$I$17="Registro Git","R",IF(TAREAS!$I$17="Despliegue documentado","D","L")),""))</f>
        <v/>
      </c>
      <c r="AA18" s="14" t="str">
        <f>IF(TAREAS!$I$17="Propuesta",IF(AND(AA$7&gt;=TAREAS!$G$17,AA$7&lt;=TAREAS!$H$17,CALENDARIO!$C$31=1),"P",""),IF(ISNUMBER(SEARCH(TEXT(AA$7,"yyyy-mm-dd"),TAREAS!$J$17)),IF(TAREAS!$I$17="Registro Git","R",IF(TAREAS!$I$17="Despliegue documentado","D","L")),""))</f>
        <v/>
      </c>
      <c r="AB18" s="14" t="str">
        <f>IF(TAREAS!$I$17="Propuesta",IF(AND(AB$7&gt;=TAREAS!$G$17,AB$7&lt;=TAREAS!$H$17,CALENDARIO!$C$32=1),"P",""),IF(ISNUMBER(SEARCH(TEXT(AB$7,"yyyy-mm-dd"),TAREAS!$J$17)),IF(TAREAS!$I$17="Registro Git","R",IF(TAREAS!$I$17="Despliegue documentado","D","L")),""))</f>
        <v/>
      </c>
      <c r="AC18" s="14" t="str">
        <f>IF(TAREAS!$I$17="Propuesta",IF(AND(AC$7&gt;=TAREAS!$G$17,AC$7&lt;=TAREAS!$H$17,CALENDARIO!$C$33=1),"P",""),IF(ISNUMBER(SEARCH(TEXT(AC$7,"yyyy-mm-dd"),TAREAS!$J$17)),IF(TAREAS!$I$17="Registro Git","R",IF(TAREAS!$I$17="Despliegue documentado","D","L")),""))</f>
        <v/>
      </c>
      <c r="AD18" s="15" t="str">
        <f>IF(TAREAS!$I$17="Propuesta",IF(AND(AD$7&gt;=TAREAS!$G$17,AD$7&lt;=TAREAS!$H$17,CALENDARIO!$C$34=1),"P",""),IF(ISNUMBER(SEARCH(TEXT(AD$7,"yyyy-mm-dd"),TAREAS!$J$17)),IF(TAREAS!$I$17="Registro Git","R",IF(TAREAS!$I$17="Despliegue documentado","D","L")),""))</f>
        <v/>
      </c>
      <c r="AE18" s="15" t="str">
        <f>IF(TAREAS!$I$17="Propuesta",IF(AND(AE$7&gt;=TAREAS!$G$17,AE$7&lt;=TAREAS!$H$17,CALENDARIO!$C$35=1),"P",""),IF(ISNUMBER(SEARCH(TEXT(AE$7,"yyyy-mm-dd"),TAREAS!$J$17)),IF(TAREAS!$I$17="Registro Git","R",IF(TAREAS!$I$17="Despliegue documentado","D","L")),""))</f>
        <v/>
      </c>
      <c r="AF18" s="14" t="str">
        <f>IF(TAREAS!$I$17="Propuesta",IF(AND(AF$7&gt;=TAREAS!$G$17,AF$7&lt;=TAREAS!$H$17,CALENDARIO!$C$36=1),"P",""),IF(ISNUMBER(SEARCH(TEXT(AF$7,"yyyy-mm-dd"),TAREAS!$J$17)),IF(TAREAS!$I$17="Registro Git","R",IF(TAREAS!$I$17="Despliegue documentado","D","L")),""))</f>
        <v/>
      </c>
      <c r="AG18" s="14" t="str">
        <f>IF(TAREAS!$I$17="Propuesta",IF(AND(AG$7&gt;=TAREAS!$G$17,AG$7&lt;=TAREAS!$H$17,CALENDARIO!$C$37=1),"P",""),IF(ISNUMBER(SEARCH(TEXT(AG$7,"yyyy-mm-dd"),TAREAS!$J$17)),IF(TAREAS!$I$17="Registro Git","R",IF(TAREAS!$I$17="Despliegue documentado","D","L")),""))</f>
        <v/>
      </c>
      <c r="AH18" s="14" t="str">
        <f>IF(TAREAS!$I$17="Propuesta",IF(AND(AH$7&gt;=TAREAS!$G$17,AH$7&lt;=TAREAS!$H$17,CALENDARIO!$C$38=1),"P",""),IF(ISNUMBER(SEARCH(TEXT(AH$7,"yyyy-mm-dd"),TAREAS!$J$17)),IF(TAREAS!$I$17="Registro Git","R",IF(TAREAS!$I$17="Despliegue documentado","D","L")),""))</f>
        <v/>
      </c>
    </row>
    <row r="19" spans="1:34" ht="72" customHeight="1" x14ac:dyDescent="0.25">
      <c r="A19" s="11" t="str">
        <f>TAREAS!C18</f>
        <v>HU-G07 · Como Marketing, quiero revisar y preparar publicaciones autorizadas.</v>
      </c>
      <c r="B19" s="12" t="str">
        <f>TAREAS!A18&amp;" · "&amp;TAREAS!D18</f>
        <v>T-014 · Integración del editor de publicaciones</v>
      </c>
      <c r="C19" s="12" t="str">
        <f>TAREAS!F18</f>
        <v>yeiserDev</v>
      </c>
      <c r="D19" s="13">
        <f t="shared" si="0"/>
        <v>1</v>
      </c>
      <c r="E19" s="14" t="str">
        <f>IF(TAREAS!$I$18="Propuesta",IF(AND(E$7&gt;=TAREAS!$G$18,E$7&lt;=TAREAS!$H$18,CALENDARIO!$C$9=1),"P",""),IF(ISNUMBER(SEARCH(TEXT(E$7,"yyyy-mm-dd"),TAREAS!$J$18)),IF(TAREAS!$I$18="Registro Git","R",IF(TAREAS!$I$18="Despliegue documentado","D","L")),""))</f>
        <v/>
      </c>
      <c r="F19" s="14" t="str">
        <f>IF(TAREAS!$I$18="Propuesta",IF(AND(F$7&gt;=TAREAS!$G$18,F$7&lt;=TAREAS!$H$18,CALENDARIO!$C$10=1),"P",""),IF(ISNUMBER(SEARCH(TEXT(F$7,"yyyy-mm-dd"),TAREAS!$J$18)),IF(TAREAS!$I$18="Registro Git","R",IF(TAREAS!$I$18="Despliegue documentado","D","L")),""))</f>
        <v/>
      </c>
      <c r="G19" s="14" t="str">
        <f>IF(TAREAS!$I$18="Propuesta",IF(AND(G$7&gt;=TAREAS!$G$18,G$7&lt;=TAREAS!$H$18,CALENDARIO!$C$11=1),"P",""),IF(ISNUMBER(SEARCH(TEXT(G$7,"yyyy-mm-dd"),TAREAS!$J$18)),IF(TAREAS!$I$18="Registro Git","R",IF(TAREAS!$I$18="Despliegue documentado","D","L")),""))</f>
        <v/>
      </c>
      <c r="H19" s="14" t="str">
        <f>IF(TAREAS!$I$18="Propuesta",IF(AND(H$7&gt;=TAREAS!$G$18,H$7&lt;=TAREAS!$H$18,CALENDARIO!$C$12=1),"P",""),IF(ISNUMBER(SEARCH(TEXT(H$7,"yyyy-mm-dd"),TAREAS!$J$18)),IF(TAREAS!$I$18="Registro Git","R",IF(TAREAS!$I$18="Despliegue documentado","D","L")),""))</f>
        <v/>
      </c>
      <c r="I19" s="15" t="str">
        <f>IF(TAREAS!$I$18="Propuesta",IF(AND(I$7&gt;=TAREAS!$G$18,I$7&lt;=TAREAS!$H$18,CALENDARIO!$C$13=1),"P",""),IF(ISNUMBER(SEARCH(TEXT(I$7,"yyyy-mm-dd"),TAREAS!$J$18)),IF(TAREAS!$I$18="Registro Git","R",IF(TAREAS!$I$18="Despliegue documentado","D","L")),""))</f>
        <v/>
      </c>
      <c r="J19" s="15" t="str">
        <f>IF(TAREAS!$I$18="Propuesta",IF(AND(J$7&gt;=TAREAS!$G$18,J$7&lt;=TAREAS!$H$18,CALENDARIO!$C$14=1),"P",""),IF(ISNUMBER(SEARCH(TEXT(J$7,"yyyy-mm-dd"),TAREAS!$J$18)),IF(TAREAS!$I$18="Registro Git","R",IF(TAREAS!$I$18="Despliegue documentado","D","L")),""))</f>
        <v/>
      </c>
      <c r="K19" s="14" t="str">
        <f>IF(TAREAS!$I$18="Propuesta",IF(AND(K$7&gt;=TAREAS!$G$18,K$7&lt;=TAREAS!$H$18,CALENDARIO!$C$15=1),"P",""),IF(ISNUMBER(SEARCH(TEXT(K$7,"yyyy-mm-dd"),TAREAS!$J$18)),IF(TAREAS!$I$18="Registro Git","R",IF(TAREAS!$I$18="Despliegue documentado","D","L")),""))</f>
        <v/>
      </c>
      <c r="L19" s="14" t="str">
        <f>IF(TAREAS!$I$18="Propuesta",IF(AND(L$7&gt;=TAREAS!$G$18,L$7&lt;=TAREAS!$H$18,CALENDARIO!$C$16=1),"P",""),IF(ISNUMBER(SEARCH(TEXT(L$7,"yyyy-mm-dd"),TAREAS!$J$18)),IF(TAREAS!$I$18="Registro Git","R",IF(TAREAS!$I$18="Despliegue documentado","D","L")),""))</f>
        <v/>
      </c>
      <c r="M19" s="14" t="str">
        <f>IF(TAREAS!$I$18="Propuesta",IF(AND(M$7&gt;=TAREAS!$G$18,M$7&lt;=TAREAS!$H$18,CALENDARIO!$C$17=1),"P",""),IF(ISNUMBER(SEARCH(TEXT(M$7,"yyyy-mm-dd"),TAREAS!$J$18)),IF(TAREAS!$I$18="Registro Git","R",IF(TAREAS!$I$18="Despliegue documentado","D","L")),""))</f>
        <v/>
      </c>
      <c r="N19" s="14" t="str">
        <f>IF(TAREAS!$I$18="Propuesta",IF(AND(N$7&gt;=TAREAS!$G$18,N$7&lt;=TAREAS!$H$18,CALENDARIO!$C$18=1),"P",""),IF(ISNUMBER(SEARCH(TEXT(N$7,"yyyy-mm-dd"),TAREAS!$J$18)),IF(TAREAS!$I$18="Registro Git","R",IF(TAREAS!$I$18="Despliegue documentado","D","L")),""))</f>
        <v/>
      </c>
      <c r="O19" s="14" t="str">
        <f>IF(TAREAS!$I$18="Propuesta",IF(AND(O$7&gt;=TAREAS!$G$18,O$7&lt;=TAREAS!$H$18,CALENDARIO!$C$19=1),"P",""),IF(ISNUMBER(SEARCH(TEXT(O$7,"yyyy-mm-dd"),TAREAS!$J$18)),IF(TAREAS!$I$18="Registro Git","R",IF(TAREAS!$I$18="Despliegue documentado","D","L")),""))</f>
        <v/>
      </c>
      <c r="P19" s="15" t="str">
        <f>IF(TAREAS!$I$18="Propuesta",IF(AND(P$7&gt;=TAREAS!$G$18,P$7&lt;=TAREAS!$H$18,CALENDARIO!$C$20=1),"P",""),IF(ISNUMBER(SEARCH(TEXT(P$7,"yyyy-mm-dd"),TAREAS!$J$18)),IF(TAREAS!$I$18="Registro Git","R",IF(TAREAS!$I$18="Despliegue documentado","D","L")),""))</f>
        <v/>
      </c>
      <c r="Q19" s="15" t="str">
        <f>IF(TAREAS!$I$18="Propuesta",IF(AND(Q$7&gt;=TAREAS!$G$18,Q$7&lt;=TAREAS!$H$18,CALENDARIO!$C$21=1),"P",""),IF(ISNUMBER(SEARCH(TEXT(Q$7,"yyyy-mm-dd"),TAREAS!$J$18)),IF(TAREAS!$I$18="Registro Git","R",IF(TAREAS!$I$18="Despliegue documentado","D","L")),""))</f>
        <v>R</v>
      </c>
      <c r="R19" s="14" t="str">
        <f>IF(TAREAS!$I$18="Propuesta",IF(AND(R$7&gt;=TAREAS!$G$18,R$7&lt;=TAREAS!$H$18,CALENDARIO!$C$22=1),"P",""),IF(ISNUMBER(SEARCH(TEXT(R$7,"yyyy-mm-dd"),TAREAS!$J$18)),IF(TAREAS!$I$18="Registro Git","R",IF(TAREAS!$I$18="Despliegue documentado","D","L")),""))</f>
        <v/>
      </c>
      <c r="S19" s="14" t="str">
        <f>IF(TAREAS!$I$18="Propuesta",IF(AND(S$7&gt;=TAREAS!$G$18,S$7&lt;=TAREAS!$H$18,CALENDARIO!$C$23=1),"P",""),IF(ISNUMBER(SEARCH(TEXT(S$7,"yyyy-mm-dd"),TAREAS!$J$18)),IF(TAREAS!$I$18="Registro Git","R",IF(TAREAS!$I$18="Despliegue documentado","D","L")),""))</f>
        <v/>
      </c>
      <c r="T19" s="14" t="str">
        <f>IF(TAREAS!$I$18="Propuesta",IF(AND(T$7&gt;=TAREAS!$G$18,T$7&lt;=TAREAS!$H$18,CALENDARIO!$C$24=1),"P",""),IF(ISNUMBER(SEARCH(TEXT(T$7,"yyyy-mm-dd"),TAREAS!$J$18)),IF(TAREAS!$I$18="Registro Git","R",IF(TAREAS!$I$18="Despliegue documentado","D","L")),""))</f>
        <v/>
      </c>
      <c r="U19" s="14" t="str">
        <f>IF(TAREAS!$I$18="Propuesta",IF(AND(U$7&gt;=TAREAS!$G$18,U$7&lt;=TAREAS!$H$18,CALENDARIO!$C$25=1),"P",""),IF(ISNUMBER(SEARCH(TEXT(U$7,"yyyy-mm-dd"),TAREAS!$J$18)),IF(TAREAS!$I$18="Registro Git","R",IF(TAREAS!$I$18="Despliegue documentado","D","L")),""))</f>
        <v/>
      </c>
      <c r="V19" s="14" t="str">
        <f>IF(TAREAS!$I$18="Propuesta",IF(AND(V$7&gt;=TAREAS!$G$18,V$7&lt;=TAREAS!$H$18,CALENDARIO!$C$26=1),"P",""),IF(ISNUMBER(SEARCH(TEXT(V$7,"yyyy-mm-dd"),TAREAS!$J$18)),IF(TAREAS!$I$18="Registro Git","R",IF(TAREAS!$I$18="Despliegue documentado","D","L")),""))</f>
        <v/>
      </c>
      <c r="W19" s="15" t="str">
        <f>IF(TAREAS!$I$18="Propuesta",IF(AND(W$7&gt;=TAREAS!$G$18,W$7&lt;=TAREAS!$H$18,CALENDARIO!$C$27=1),"P",""),IF(ISNUMBER(SEARCH(TEXT(W$7,"yyyy-mm-dd"),TAREAS!$J$18)),IF(TAREAS!$I$18="Registro Git","R",IF(TAREAS!$I$18="Despliegue documentado","D","L")),""))</f>
        <v/>
      </c>
      <c r="X19" s="15" t="str">
        <f>IF(TAREAS!$I$18="Propuesta",IF(AND(X$7&gt;=TAREAS!$G$18,X$7&lt;=TAREAS!$H$18,CALENDARIO!$C$28=1),"P",""),IF(ISNUMBER(SEARCH(TEXT(X$7,"yyyy-mm-dd"),TAREAS!$J$18)),IF(TAREAS!$I$18="Registro Git","R",IF(TAREAS!$I$18="Despliegue documentado","D","L")),""))</f>
        <v/>
      </c>
      <c r="Y19" s="14" t="str">
        <f>IF(TAREAS!$I$18="Propuesta",IF(AND(Y$7&gt;=TAREAS!$G$18,Y$7&lt;=TAREAS!$H$18,CALENDARIO!$C$29=1),"P",""),IF(ISNUMBER(SEARCH(TEXT(Y$7,"yyyy-mm-dd"),TAREAS!$J$18)),IF(TAREAS!$I$18="Registro Git","R",IF(TAREAS!$I$18="Despliegue documentado","D","L")),""))</f>
        <v/>
      </c>
      <c r="Z19" s="14" t="str">
        <f>IF(TAREAS!$I$18="Propuesta",IF(AND(Z$7&gt;=TAREAS!$G$18,Z$7&lt;=TAREAS!$H$18,CALENDARIO!$C$30=1),"P",""),IF(ISNUMBER(SEARCH(TEXT(Z$7,"yyyy-mm-dd"),TAREAS!$J$18)),IF(TAREAS!$I$18="Registro Git","R",IF(TAREAS!$I$18="Despliegue documentado","D","L")),""))</f>
        <v/>
      </c>
      <c r="AA19" s="14" t="str">
        <f>IF(TAREAS!$I$18="Propuesta",IF(AND(AA$7&gt;=TAREAS!$G$18,AA$7&lt;=TAREAS!$H$18,CALENDARIO!$C$31=1),"P",""),IF(ISNUMBER(SEARCH(TEXT(AA$7,"yyyy-mm-dd"),TAREAS!$J$18)),IF(TAREAS!$I$18="Registro Git","R",IF(TAREAS!$I$18="Despliegue documentado","D","L")),""))</f>
        <v/>
      </c>
      <c r="AB19" s="14" t="str">
        <f>IF(TAREAS!$I$18="Propuesta",IF(AND(AB$7&gt;=TAREAS!$G$18,AB$7&lt;=TAREAS!$H$18,CALENDARIO!$C$32=1),"P",""),IF(ISNUMBER(SEARCH(TEXT(AB$7,"yyyy-mm-dd"),TAREAS!$J$18)),IF(TAREAS!$I$18="Registro Git","R",IF(TAREAS!$I$18="Despliegue documentado","D","L")),""))</f>
        <v/>
      </c>
      <c r="AC19" s="14" t="str">
        <f>IF(TAREAS!$I$18="Propuesta",IF(AND(AC$7&gt;=TAREAS!$G$18,AC$7&lt;=TAREAS!$H$18,CALENDARIO!$C$33=1),"P",""),IF(ISNUMBER(SEARCH(TEXT(AC$7,"yyyy-mm-dd"),TAREAS!$J$18)),IF(TAREAS!$I$18="Registro Git","R",IF(TAREAS!$I$18="Despliegue documentado","D","L")),""))</f>
        <v/>
      </c>
      <c r="AD19" s="15" t="str">
        <f>IF(TAREAS!$I$18="Propuesta",IF(AND(AD$7&gt;=TAREAS!$G$18,AD$7&lt;=TAREAS!$H$18,CALENDARIO!$C$34=1),"P",""),IF(ISNUMBER(SEARCH(TEXT(AD$7,"yyyy-mm-dd"),TAREAS!$J$18)),IF(TAREAS!$I$18="Registro Git","R",IF(TAREAS!$I$18="Despliegue documentado","D","L")),""))</f>
        <v/>
      </c>
      <c r="AE19" s="15" t="str">
        <f>IF(TAREAS!$I$18="Propuesta",IF(AND(AE$7&gt;=TAREAS!$G$18,AE$7&lt;=TAREAS!$H$18,CALENDARIO!$C$35=1),"P",""),IF(ISNUMBER(SEARCH(TEXT(AE$7,"yyyy-mm-dd"),TAREAS!$J$18)),IF(TAREAS!$I$18="Registro Git","R",IF(TAREAS!$I$18="Despliegue documentado","D","L")),""))</f>
        <v/>
      </c>
      <c r="AF19" s="14" t="str">
        <f>IF(TAREAS!$I$18="Propuesta",IF(AND(AF$7&gt;=TAREAS!$G$18,AF$7&lt;=TAREAS!$H$18,CALENDARIO!$C$36=1),"P",""),IF(ISNUMBER(SEARCH(TEXT(AF$7,"yyyy-mm-dd"),TAREAS!$J$18)),IF(TAREAS!$I$18="Registro Git","R",IF(TAREAS!$I$18="Despliegue documentado","D","L")),""))</f>
        <v/>
      </c>
      <c r="AG19" s="14" t="str">
        <f>IF(TAREAS!$I$18="Propuesta",IF(AND(AG$7&gt;=TAREAS!$G$18,AG$7&lt;=TAREAS!$H$18,CALENDARIO!$C$37=1),"P",""),IF(ISNUMBER(SEARCH(TEXT(AG$7,"yyyy-mm-dd"),TAREAS!$J$18)),IF(TAREAS!$I$18="Registro Git","R",IF(TAREAS!$I$18="Despliegue documentado","D","L")),""))</f>
        <v/>
      </c>
      <c r="AH19" s="14" t="str">
        <f>IF(TAREAS!$I$18="Propuesta",IF(AND(AH$7&gt;=TAREAS!$G$18,AH$7&lt;=TAREAS!$H$18,CALENDARIO!$C$38=1),"P",""),IF(ISNUMBER(SEARCH(TEXT(AH$7,"yyyy-mm-dd"),TAREAS!$J$18)),IF(TAREAS!$I$18="Registro Git","R",IF(TAREAS!$I$18="Despliegue documentado","D","L")),""))</f>
        <v/>
      </c>
    </row>
    <row r="20" spans="1:34" ht="72" customHeight="1" x14ac:dyDescent="0.25">
      <c r="A20" s="17" t="str">
        <f>TAREAS!C19</f>
        <v>HU-G08 · Como Dirección, quiero consultar reportes y métricas explicables.</v>
      </c>
      <c r="B20" s="12" t="str">
        <f>TAREAS!A19&amp;" · "&amp;TAREAS!D19</f>
        <v>T-015 · Ranking mensual beta y detalle de métricas</v>
      </c>
      <c r="C20" s="12" t="str">
        <f>TAREAS!F19</f>
        <v>yeiserDev</v>
      </c>
      <c r="D20" s="13">
        <f t="shared" si="0"/>
        <v>1</v>
      </c>
      <c r="E20" s="14" t="str">
        <f>IF(TAREAS!$I$19="Propuesta",IF(AND(E$7&gt;=TAREAS!$G$19,E$7&lt;=TAREAS!$H$19,CALENDARIO!$C$9=1),"P",""),IF(ISNUMBER(SEARCH(TEXT(E$7,"yyyy-mm-dd"),TAREAS!$J$19)),IF(TAREAS!$I$19="Registro Git","R",IF(TAREAS!$I$19="Despliegue documentado","D","L")),""))</f>
        <v/>
      </c>
      <c r="F20" s="14" t="str">
        <f>IF(TAREAS!$I$19="Propuesta",IF(AND(F$7&gt;=TAREAS!$G$19,F$7&lt;=TAREAS!$H$19,CALENDARIO!$C$10=1),"P",""),IF(ISNUMBER(SEARCH(TEXT(F$7,"yyyy-mm-dd"),TAREAS!$J$19)),IF(TAREAS!$I$19="Registro Git","R",IF(TAREAS!$I$19="Despliegue documentado","D","L")),""))</f>
        <v/>
      </c>
      <c r="G20" s="14" t="str">
        <f>IF(TAREAS!$I$19="Propuesta",IF(AND(G$7&gt;=TAREAS!$G$19,G$7&lt;=TAREAS!$H$19,CALENDARIO!$C$11=1),"P",""),IF(ISNUMBER(SEARCH(TEXT(G$7,"yyyy-mm-dd"),TAREAS!$J$19)),IF(TAREAS!$I$19="Registro Git","R",IF(TAREAS!$I$19="Despliegue documentado","D","L")),""))</f>
        <v/>
      </c>
      <c r="H20" s="14" t="str">
        <f>IF(TAREAS!$I$19="Propuesta",IF(AND(H$7&gt;=TAREAS!$G$19,H$7&lt;=TAREAS!$H$19,CALENDARIO!$C$12=1),"P",""),IF(ISNUMBER(SEARCH(TEXT(H$7,"yyyy-mm-dd"),TAREAS!$J$19)),IF(TAREAS!$I$19="Registro Git","R",IF(TAREAS!$I$19="Despliegue documentado","D","L")),""))</f>
        <v/>
      </c>
      <c r="I20" s="15" t="str">
        <f>IF(TAREAS!$I$19="Propuesta",IF(AND(I$7&gt;=TAREAS!$G$19,I$7&lt;=TAREAS!$H$19,CALENDARIO!$C$13=1),"P",""),IF(ISNUMBER(SEARCH(TEXT(I$7,"yyyy-mm-dd"),TAREAS!$J$19)),IF(TAREAS!$I$19="Registro Git","R",IF(TAREAS!$I$19="Despliegue documentado","D","L")),""))</f>
        <v/>
      </c>
      <c r="J20" s="15" t="str">
        <f>IF(TAREAS!$I$19="Propuesta",IF(AND(J$7&gt;=TAREAS!$G$19,J$7&lt;=TAREAS!$H$19,CALENDARIO!$C$14=1),"P",""),IF(ISNUMBER(SEARCH(TEXT(J$7,"yyyy-mm-dd"),TAREAS!$J$19)),IF(TAREAS!$I$19="Registro Git","R",IF(TAREAS!$I$19="Despliegue documentado","D","L")),""))</f>
        <v/>
      </c>
      <c r="K20" s="14" t="str">
        <f>IF(TAREAS!$I$19="Propuesta",IF(AND(K$7&gt;=TAREAS!$G$19,K$7&lt;=TAREAS!$H$19,CALENDARIO!$C$15=1),"P",""),IF(ISNUMBER(SEARCH(TEXT(K$7,"yyyy-mm-dd"),TAREAS!$J$19)),IF(TAREAS!$I$19="Registro Git","R",IF(TAREAS!$I$19="Despliegue documentado","D","L")),""))</f>
        <v/>
      </c>
      <c r="L20" s="14" t="str">
        <f>IF(TAREAS!$I$19="Propuesta",IF(AND(L$7&gt;=TAREAS!$G$19,L$7&lt;=TAREAS!$H$19,CALENDARIO!$C$16=1),"P",""),IF(ISNUMBER(SEARCH(TEXT(L$7,"yyyy-mm-dd"),TAREAS!$J$19)),IF(TAREAS!$I$19="Registro Git","R",IF(TAREAS!$I$19="Despliegue documentado","D","L")),""))</f>
        <v/>
      </c>
      <c r="M20" s="14" t="str">
        <f>IF(TAREAS!$I$19="Propuesta",IF(AND(M$7&gt;=TAREAS!$G$19,M$7&lt;=TAREAS!$H$19,CALENDARIO!$C$17=1),"P",""),IF(ISNUMBER(SEARCH(TEXT(M$7,"yyyy-mm-dd"),TAREAS!$J$19)),IF(TAREAS!$I$19="Registro Git","R",IF(TAREAS!$I$19="Despliegue documentado","D","L")),""))</f>
        <v/>
      </c>
      <c r="N20" s="14" t="str">
        <f>IF(TAREAS!$I$19="Propuesta",IF(AND(N$7&gt;=TAREAS!$G$19,N$7&lt;=TAREAS!$H$19,CALENDARIO!$C$18=1),"P",""),IF(ISNUMBER(SEARCH(TEXT(N$7,"yyyy-mm-dd"),TAREAS!$J$19)),IF(TAREAS!$I$19="Registro Git","R",IF(TAREAS!$I$19="Despliegue documentado","D","L")),""))</f>
        <v/>
      </c>
      <c r="O20" s="14" t="str">
        <f>IF(TAREAS!$I$19="Propuesta",IF(AND(O$7&gt;=TAREAS!$G$19,O$7&lt;=TAREAS!$H$19,CALENDARIO!$C$19=1),"P",""),IF(ISNUMBER(SEARCH(TEXT(O$7,"yyyy-mm-dd"),TAREAS!$J$19)),IF(TAREAS!$I$19="Registro Git","R",IF(TAREAS!$I$19="Despliegue documentado","D","L")),""))</f>
        <v/>
      </c>
      <c r="P20" s="15" t="str">
        <f>IF(TAREAS!$I$19="Propuesta",IF(AND(P$7&gt;=TAREAS!$G$19,P$7&lt;=TAREAS!$H$19,CALENDARIO!$C$20=1),"P",""),IF(ISNUMBER(SEARCH(TEXT(P$7,"yyyy-mm-dd"),TAREAS!$J$19)),IF(TAREAS!$I$19="Registro Git","R",IF(TAREAS!$I$19="Despliegue documentado","D","L")),""))</f>
        <v/>
      </c>
      <c r="Q20" s="15" t="str">
        <f>IF(TAREAS!$I$19="Propuesta",IF(AND(Q$7&gt;=TAREAS!$G$19,Q$7&lt;=TAREAS!$H$19,CALENDARIO!$C$21=1),"P",""),IF(ISNUMBER(SEARCH(TEXT(Q$7,"yyyy-mm-dd"),TAREAS!$J$19)),IF(TAREAS!$I$19="Registro Git","R",IF(TAREAS!$I$19="Despliegue documentado","D","L")),""))</f>
        <v/>
      </c>
      <c r="R20" s="14" t="str">
        <f>IF(TAREAS!$I$19="Propuesta",IF(AND(R$7&gt;=TAREAS!$G$19,R$7&lt;=TAREAS!$H$19,CALENDARIO!$C$22=1),"P",""),IF(ISNUMBER(SEARCH(TEXT(R$7,"yyyy-mm-dd"),TAREAS!$J$19)),IF(TAREAS!$I$19="Registro Git","R",IF(TAREAS!$I$19="Despliegue documentado","D","L")),""))</f>
        <v>R</v>
      </c>
      <c r="S20" s="14" t="str">
        <f>IF(TAREAS!$I$19="Propuesta",IF(AND(S$7&gt;=TAREAS!$G$19,S$7&lt;=TAREAS!$H$19,CALENDARIO!$C$23=1),"P",""),IF(ISNUMBER(SEARCH(TEXT(S$7,"yyyy-mm-dd"),TAREAS!$J$19)),IF(TAREAS!$I$19="Registro Git","R",IF(TAREAS!$I$19="Despliegue documentado","D","L")),""))</f>
        <v/>
      </c>
      <c r="T20" s="14" t="str">
        <f>IF(TAREAS!$I$19="Propuesta",IF(AND(T$7&gt;=TAREAS!$G$19,T$7&lt;=TAREAS!$H$19,CALENDARIO!$C$24=1),"P",""),IF(ISNUMBER(SEARCH(TEXT(T$7,"yyyy-mm-dd"),TAREAS!$J$19)),IF(TAREAS!$I$19="Registro Git","R",IF(TAREAS!$I$19="Despliegue documentado","D","L")),""))</f>
        <v/>
      </c>
      <c r="U20" s="14" t="str">
        <f>IF(TAREAS!$I$19="Propuesta",IF(AND(U$7&gt;=TAREAS!$G$19,U$7&lt;=TAREAS!$H$19,CALENDARIO!$C$25=1),"P",""),IF(ISNUMBER(SEARCH(TEXT(U$7,"yyyy-mm-dd"),TAREAS!$J$19)),IF(TAREAS!$I$19="Registro Git","R",IF(TAREAS!$I$19="Despliegue documentado","D","L")),""))</f>
        <v/>
      </c>
      <c r="V20" s="14" t="str">
        <f>IF(TAREAS!$I$19="Propuesta",IF(AND(V$7&gt;=TAREAS!$G$19,V$7&lt;=TAREAS!$H$19,CALENDARIO!$C$26=1),"P",""),IF(ISNUMBER(SEARCH(TEXT(V$7,"yyyy-mm-dd"),TAREAS!$J$19)),IF(TAREAS!$I$19="Registro Git","R",IF(TAREAS!$I$19="Despliegue documentado","D","L")),""))</f>
        <v/>
      </c>
      <c r="W20" s="15" t="str">
        <f>IF(TAREAS!$I$19="Propuesta",IF(AND(W$7&gt;=TAREAS!$G$19,W$7&lt;=TAREAS!$H$19,CALENDARIO!$C$27=1),"P",""),IF(ISNUMBER(SEARCH(TEXT(W$7,"yyyy-mm-dd"),TAREAS!$J$19)),IF(TAREAS!$I$19="Registro Git","R",IF(TAREAS!$I$19="Despliegue documentado","D","L")),""))</f>
        <v/>
      </c>
      <c r="X20" s="15" t="str">
        <f>IF(TAREAS!$I$19="Propuesta",IF(AND(X$7&gt;=TAREAS!$G$19,X$7&lt;=TAREAS!$H$19,CALENDARIO!$C$28=1),"P",""),IF(ISNUMBER(SEARCH(TEXT(X$7,"yyyy-mm-dd"),TAREAS!$J$19)),IF(TAREAS!$I$19="Registro Git","R",IF(TAREAS!$I$19="Despliegue documentado","D","L")),""))</f>
        <v/>
      </c>
      <c r="Y20" s="14" t="str">
        <f>IF(TAREAS!$I$19="Propuesta",IF(AND(Y$7&gt;=TAREAS!$G$19,Y$7&lt;=TAREAS!$H$19,CALENDARIO!$C$29=1),"P",""),IF(ISNUMBER(SEARCH(TEXT(Y$7,"yyyy-mm-dd"),TAREAS!$J$19)),IF(TAREAS!$I$19="Registro Git","R",IF(TAREAS!$I$19="Despliegue documentado","D","L")),""))</f>
        <v/>
      </c>
      <c r="Z20" s="14" t="str">
        <f>IF(TAREAS!$I$19="Propuesta",IF(AND(Z$7&gt;=TAREAS!$G$19,Z$7&lt;=TAREAS!$H$19,CALENDARIO!$C$30=1),"P",""),IF(ISNUMBER(SEARCH(TEXT(Z$7,"yyyy-mm-dd"),TAREAS!$J$19)),IF(TAREAS!$I$19="Registro Git","R",IF(TAREAS!$I$19="Despliegue documentado","D","L")),""))</f>
        <v/>
      </c>
      <c r="AA20" s="14" t="str">
        <f>IF(TAREAS!$I$19="Propuesta",IF(AND(AA$7&gt;=TAREAS!$G$19,AA$7&lt;=TAREAS!$H$19,CALENDARIO!$C$31=1),"P",""),IF(ISNUMBER(SEARCH(TEXT(AA$7,"yyyy-mm-dd"),TAREAS!$J$19)),IF(TAREAS!$I$19="Registro Git","R",IF(TAREAS!$I$19="Despliegue documentado","D","L")),""))</f>
        <v/>
      </c>
      <c r="AB20" s="14" t="str">
        <f>IF(TAREAS!$I$19="Propuesta",IF(AND(AB$7&gt;=TAREAS!$G$19,AB$7&lt;=TAREAS!$H$19,CALENDARIO!$C$32=1),"P",""),IF(ISNUMBER(SEARCH(TEXT(AB$7,"yyyy-mm-dd"),TAREAS!$J$19)),IF(TAREAS!$I$19="Registro Git","R",IF(TAREAS!$I$19="Despliegue documentado","D","L")),""))</f>
        <v/>
      </c>
      <c r="AC20" s="14" t="str">
        <f>IF(TAREAS!$I$19="Propuesta",IF(AND(AC$7&gt;=TAREAS!$G$19,AC$7&lt;=TAREAS!$H$19,CALENDARIO!$C$33=1),"P",""),IF(ISNUMBER(SEARCH(TEXT(AC$7,"yyyy-mm-dd"),TAREAS!$J$19)),IF(TAREAS!$I$19="Registro Git","R",IF(TAREAS!$I$19="Despliegue documentado","D","L")),""))</f>
        <v/>
      </c>
      <c r="AD20" s="15" t="str">
        <f>IF(TAREAS!$I$19="Propuesta",IF(AND(AD$7&gt;=TAREAS!$G$19,AD$7&lt;=TAREAS!$H$19,CALENDARIO!$C$34=1),"P",""),IF(ISNUMBER(SEARCH(TEXT(AD$7,"yyyy-mm-dd"),TAREAS!$J$19)),IF(TAREAS!$I$19="Registro Git","R",IF(TAREAS!$I$19="Despliegue documentado","D","L")),""))</f>
        <v/>
      </c>
      <c r="AE20" s="15" t="str">
        <f>IF(TAREAS!$I$19="Propuesta",IF(AND(AE$7&gt;=TAREAS!$G$19,AE$7&lt;=TAREAS!$H$19,CALENDARIO!$C$35=1),"P",""),IF(ISNUMBER(SEARCH(TEXT(AE$7,"yyyy-mm-dd"),TAREAS!$J$19)),IF(TAREAS!$I$19="Registro Git","R",IF(TAREAS!$I$19="Despliegue documentado","D","L")),""))</f>
        <v/>
      </c>
      <c r="AF20" s="14" t="str">
        <f>IF(TAREAS!$I$19="Propuesta",IF(AND(AF$7&gt;=TAREAS!$G$19,AF$7&lt;=TAREAS!$H$19,CALENDARIO!$C$36=1),"P",""),IF(ISNUMBER(SEARCH(TEXT(AF$7,"yyyy-mm-dd"),TAREAS!$J$19)),IF(TAREAS!$I$19="Registro Git","R",IF(TAREAS!$I$19="Despliegue documentado","D","L")),""))</f>
        <v/>
      </c>
      <c r="AG20" s="14" t="str">
        <f>IF(TAREAS!$I$19="Propuesta",IF(AND(AG$7&gt;=TAREAS!$G$19,AG$7&lt;=TAREAS!$H$19,CALENDARIO!$C$37=1),"P",""),IF(ISNUMBER(SEARCH(TEXT(AG$7,"yyyy-mm-dd"),TAREAS!$J$19)),IF(TAREAS!$I$19="Registro Git","R",IF(TAREAS!$I$19="Despliegue documentado","D","L")),""))</f>
        <v/>
      </c>
      <c r="AH20" s="14" t="str">
        <f>IF(TAREAS!$I$19="Propuesta",IF(AND(AH$7&gt;=TAREAS!$G$19,AH$7&lt;=TAREAS!$H$19,CALENDARIO!$C$38=1),"P",""),IF(ISNUMBER(SEARCH(TEXT(AH$7,"yyyy-mm-dd"),TAREAS!$J$19)),IF(TAREAS!$I$19="Registro Git","R",IF(TAREAS!$I$19="Despliegue documentado","D","L")),""))</f>
        <v/>
      </c>
    </row>
    <row r="21" spans="1:34" ht="72" customHeight="1" x14ac:dyDescent="0.25">
      <c r="A21" s="17" t="str">
        <f>TAREAS!C20</f>
        <v>HU-G02 · Como colaborador, quiero registrar mi jornada según modalidad y ubicación.</v>
      </c>
      <c r="B21" s="12" t="str">
        <f>TAREAS!A20&amp;" · "&amp;TAREAS!D20</f>
        <v>T-016 · Corrección de espera y verificación de ubicación</v>
      </c>
      <c r="C21" s="12" t="str">
        <f>TAREAS!F20</f>
        <v>yeiserDev</v>
      </c>
      <c r="D21" s="13">
        <f t="shared" si="0"/>
        <v>1</v>
      </c>
      <c r="E21" s="14" t="str">
        <f>IF(TAREAS!$I$20="Propuesta",IF(AND(E$7&gt;=TAREAS!$G$20,E$7&lt;=TAREAS!$H$20,CALENDARIO!$C$9=1),"P",""),IF(ISNUMBER(SEARCH(TEXT(E$7,"yyyy-mm-dd"),TAREAS!$J$20)),IF(TAREAS!$I$20="Registro Git","R",IF(TAREAS!$I$20="Despliegue documentado","D","L")),""))</f>
        <v/>
      </c>
      <c r="F21" s="14" t="str">
        <f>IF(TAREAS!$I$20="Propuesta",IF(AND(F$7&gt;=TAREAS!$G$20,F$7&lt;=TAREAS!$H$20,CALENDARIO!$C$10=1),"P",""),IF(ISNUMBER(SEARCH(TEXT(F$7,"yyyy-mm-dd"),TAREAS!$J$20)),IF(TAREAS!$I$20="Registro Git","R",IF(TAREAS!$I$20="Despliegue documentado","D","L")),""))</f>
        <v/>
      </c>
      <c r="G21" s="14" t="str">
        <f>IF(TAREAS!$I$20="Propuesta",IF(AND(G$7&gt;=TAREAS!$G$20,G$7&lt;=TAREAS!$H$20,CALENDARIO!$C$11=1),"P",""),IF(ISNUMBER(SEARCH(TEXT(G$7,"yyyy-mm-dd"),TAREAS!$J$20)),IF(TAREAS!$I$20="Registro Git","R",IF(TAREAS!$I$20="Despliegue documentado","D","L")),""))</f>
        <v/>
      </c>
      <c r="H21" s="14" t="str">
        <f>IF(TAREAS!$I$20="Propuesta",IF(AND(H$7&gt;=TAREAS!$G$20,H$7&lt;=TAREAS!$H$20,CALENDARIO!$C$12=1),"P",""),IF(ISNUMBER(SEARCH(TEXT(H$7,"yyyy-mm-dd"),TAREAS!$J$20)),IF(TAREAS!$I$20="Registro Git","R",IF(TAREAS!$I$20="Despliegue documentado","D","L")),""))</f>
        <v/>
      </c>
      <c r="I21" s="15" t="str">
        <f>IF(TAREAS!$I$20="Propuesta",IF(AND(I$7&gt;=TAREAS!$G$20,I$7&lt;=TAREAS!$H$20,CALENDARIO!$C$13=1),"P",""),IF(ISNUMBER(SEARCH(TEXT(I$7,"yyyy-mm-dd"),TAREAS!$J$20)),IF(TAREAS!$I$20="Registro Git","R",IF(TAREAS!$I$20="Despliegue documentado","D","L")),""))</f>
        <v/>
      </c>
      <c r="J21" s="15" t="str">
        <f>IF(TAREAS!$I$20="Propuesta",IF(AND(J$7&gt;=TAREAS!$G$20,J$7&lt;=TAREAS!$H$20,CALENDARIO!$C$14=1),"P",""),IF(ISNUMBER(SEARCH(TEXT(J$7,"yyyy-mm-dd"),TAREAS!$J$20)),IF(TAREAS!$I$20="Registro Git","R",IF(TAREAS!$I$20="Despliegue documentado","D","L")),""))</f>
        <v/>
      </c>
      <c r="K21" s="14" t="str">
        <f>IF(TAREAS!$I$20="Propuesta",IF(AND(K$7&gt;=TAREAS!$G$20,K$7&lt;=TAREAS!$H$20,CALENDARIO!$C$15=1),"P",""),IF(ISNUMBER(SEARCH(TEXT(K$7,"yyyy-mm-dd"),TAREAS!$J$20)),IF(TAREAS!$I$20="Registro Git","R",IF(TAREAS!$I$20="Despliegue documentado","D","L")),""))</f>
        <v/>
      </c>
      <c r="L21" s="14" t="str">
        <f>IF(TAREAS!$I$20="Propuesta",IF(AND(L$7&gt;=TAREAS!$G$20,L$7&lt;=TAREAS!$H$20,CALENDARIO!$C$16=1),"P",""),IF(ISNUMBER(SEARCH(TEXT(L$7,"yyyy-mm-dd"),TAREAS!$J$20)),IF(TAREAS!$I$20="Registro Git","R",IF(TAREAS!$I$20="Despliegue documentado","D","L")),""))</f>
        <v/>
      </c>
      <c r="M21" s="14" t="str">
        <f>IF(TAREAS!$I$20="Propuesta",IF(AND(M$7&gt;=TAREAS!$G$20,M$7&lt;=TAREAS!$H$20,CALENDARIO!$C$17=1),"P",""),IF(ISNUMBER(SEARCH(TEXT(M$7,"yyyy-mm-dd"),TAREAS!$J$20)),IF(TAREAS!$I$20="Registro Git","R",IF(TAREAS!$I$20="Despliegue documentado","D","L")),""))</f>
        <v/>
      </c>
      <c r="N21" s="14" t="str">
        <f>IF(TAREAS!$I$20="Propuesta",IF(AND(N$7&gt;=TAREAS!$G$20,N$7&lt;=TAREAS!$H$20,CALENDARIO!$C$18=1),"P",""),IF(ISNUMBER(SEARCH(TEXT(N$7,"yyyy-mm-dd"),TAREAS!$J$20)),IF(TAREAS!$I$20="Registro Git","R",IF(TAREAS!$I$20="Despliegue documentado","D","L")),""))</f>
        <v/>
      </c>
      <c r="O21" s="14" t="str">
        <f>IF(TAREAS!$I$20="Propuesta",IF(AND(O$7&gt;=TAREAS!$G$20,O$7&lt;=TAREAS!$H$20,CALENDARIO!$C$19=1),"P",""),IF(ISNUMBER(SEARCH(TEXT(O$7,"yyyy-mm-dd"),TAREAS!$J$20)),IF(TAREAS!$I$20="Registro Git","R",IF(TAREAS!$I$20="Despliegue documentado","D","L")),""))</f>
        <v/>
      </c>
      <c r="P21" s="15" t="str">
        <f>IF(TAREAS!$I$20="Propuesta",IF(AND(P$7&gt;=TAREAS!$G$20,P$7&lt;=TAREAS!$H$20,CALENDARIO!$C$20=1),"P",""),IF(ISNUMBER(SEARCH(TEXT(P$7,"yyyy-mm-dd"),TAREAS!$J$20)),IF(TAREAS!$I$20="Registro Git","R",IF(TAREAS!$I$20="Despliegue documentado","D","L")),""))</f>
        <v/>
      </c>
      <c r="Q21" s="15" t="str">
        <f>IF(TAREAS!$I$20="Propuesta",IF(AND(Q$7&gt;=TAREAS!$G$20,Q$7&lt;=TAREAS!$H$20,CALENDARIO!$C$21=1),"P",""),IF(ISNUMBER(SEARCH(TEXT(Q$7,"yyyy-mm-dd"),TAREAS!$J$20)),IF(TAREAS!$I$20="Registro Git","R",IF(TAREAS!$I$20="Despliegue documentado","D","L")),""))</f>
        <v/>
      </c>
      <c r="R21" s="14" t="str">
        <f>IF(TAREAS!$I$20="Propuesta",IF(AND(R$7&gt;=TAREAS!$G$20,R$7&lt;=TAREAS!$H$20,CALENDARIO!$C$22=1),"P",""),IF(ISNUMBER(SEARCH(TEXT(R$7,"yyyy-mm-dd"),TAREAS!$J$20)),IF(TAREAS!$I$20="Registro Git","R",IF(TAREAS!$I$20="Despliegue documentado","D","L")),""))</f>
        <v>R</v>
      </c>
      <c r="S21" s="14" t="str">
        <f>IF(TAREAS!$I$20="Propuesta",IF(AND(S$7&gt;=TAREAS!$G$20,S$7&lt;=TAREAS!$H$20,CALENDARIO!$C$23=1),"P",""),IF(ISNUMBER(SEARCH(TEXT(S$7,"yyyy-mm-dd"),TAREAS!$J$20)),IF(TAREAS!$I$20="Registro Git","R",IF(TAREAS!$I$20="Despliegue documentado","D","L")),""))</f>
        <v/>
      </c>
      <c r="T21" s="14" t="str">
        <f>IF(TAREAS!$I$20="Propuesta",IF(AND(T$7&gt;=TAREAS!$G$20,T$7&lt;=TAREAS!$H$20,CALENDARIO!$C$24=1),"P",""),IF(ISNUMBER(SEARCH(TEXT(T$7,"yyyy-mm-dd"),TAREAS!$J$20)),IF(TAREAS!$I$20="Registro Git","R",IF(TAREAS!$I$20="Despliegue documentado","D","L")),""))</f>
        <v/>
      </c>
      <c r="U21" s="14" t="str">
        <f>IF(TAREAS!$I$20="Propuesta",IF(AND(U$7&gt;=TAREAS!$G$20,U$7&lt;=TAREAS!$H$20,CALENDARIO!$C$25=1),"P",""),IF(ISNUMBER(SEARCH(TEXT(U$7,"yyyy-mm-dd"),TAREAS!$J$20)),IF(TAREAS!$I$20="Registro Git","R",IF(TAREAS!$I$20="Despliegue documentado","D","L")),""))</f>
        <v/>
      </c>
      <c r="V21" s="14" t="str">
        <f>IF(TAREAS!$I$20="Propuesta",IF(AND(V$7&gt;=TAREAS!$G$20,V$7&lt;=TAREAS!$H$20,CALENDARIO!$C$26=1),"P",""),IF(ISNUMBER(SEARCH(TEXT(V$7,"yyyy-mm-dd"),TAREAS!$J$20)),IF(TAREAS!$I$20="Registro Git","R",IF(TAREAS!$I$20="Despliegue documentado","D","L")),""))</f>
        <v/>
      </c>
      <c r="W21" s="15" t="str">
        <f>IF(TAREAS!$I$20="Propuesta",IF(AND(W$7&gt;=TAREAS!$G$20,W$7&lt;=TAREAS!$H$20,CALENDARIO!$C$27=1),"P",""),IF(ISNUMBER(SEARCH(TEXT(W$7,"yyyy-mm-dd"),TAREAS!$J$20)),IF(TAREAS!$I$20="Registro Git","R",IF(TAREAS!$I$20="Despliegue documentado","D","L")),""))</f>
        <v/>
      </c>
      <c r="X21" s="15" t="str">
        <f>IF(TAREAS!$I$20="Propuesta",IF(AND(X$7&gt;=TAREAS!$G$20,X$7&lt;=TAREAS!$H$20,CALENDARIO!$C$28=1),"P",""),IF(ISNUMBER(SEARCH(TEXT(X$7,"yyyy-mm-dd"),TAREAS!$J$20)),IF(TAREAS!$I$20="Registro Git","R",IF(TAREAS!$I$20="Despliegue documentado","D","L")),""))</f>
        <v/>
      </c>
      <c r="Y21" s="14" t="str">
        <f>IF(TAREAS!$I$20="Propuesta",IF(AND(Y$7&gt;=TAREAS!$G$20,Y$7&lt;=TAREAS!$H$20,CALENDARIO!$C$29=1),"P",""),IF(ISNUMBER(SEARCH(TEXT(Y$7,"yyyy-mm-dd"),TAREAS!$J$20)),IF(TAREAS!$I$20="Registro Git","R",IF(TAREAS!$I$20="Despliegue documentado","D","L")),""))</f>
        <v/>
      </c>
      <c r="Z21" s="14" t="str">
        <f>IF(TAREAS!$I$20="Propuesta",IF(AND(Z$7&gt;=TAREAS!$G$20,Z$7&lt;=TAREAS!$H$20,CALENDARIO!$C$30=1),"P",""),IF(ISNUMBER(SEARCH(TEXT(Z$7,"yyyy-mm-dd"),TAREAS!$J$20)),IF(TAREAS!$I$20="Registro Git","R",IF(TAREAS!$I$20="Despliegue documentado","D","L")),""))</f>
        <v/>
      </c>
      <c r="AA21" s="14" t="str">
        <f>IF(TAREAS!$I$20="Propuesta",IF(AND(AA$7&gt;=TAREAS!$G$20,AA$7&lt;=TAREAS!$H$20,CALENDARIO!$C$31=1),"P",""),IF(ISNUMBER(SEARCH(TEXT(AA$7,"yyyy-mm-dd"),TAREAS!$J$20)),IF(TAREAS!$I$20="Registro Git","R",IF(TAREAS!$I$20="Despliegue documentado","D","L")),""))</f>
        <v/>
      </c>
      <c r="AB21" s="14" t="str">
        <f>IF(TAREAS!$I$20="Propuesta",IF(AND(AB$7&gt;=TAREAS!$G$20,AB$7&lt;=TAREAS!$H$20,CALENDARIO!$C$32=1),"P",""),IF(ISNUMBER(SEARCH(TEXT(AB$7,"yyyy-mm-dd"),TAREAS!$J$20)),IF(TAREAS!$I$20="Registro Git","R",IF(TAREAS!$I$20="Despliegue documentado","D","L")),""))</f>
        <v/>
      </c>
      <c r="AC21" s="14" t="str">
        <f>IF(TAREAS!$I$20="Propuesta",IF(AND(AC$7&gt;=TAREAS!$G$20,AC$7&lt;=TAREAS!$H$20,CALENDARIO!$C$33=1),"P",""),IF(ISNUMBER(SEARCH(TEXT(AC$7,"yyyy-mm-dd"),TAREAS!$J$20)),IF(TAREAS!$I$20="Registro Git","R",IF(TAREAS!$I$20="Despliegue documentado","D","L")),""))</f>
        <v/>
      </c>
      <c r="AD21" s="15" t="str">
        <f>IF(TAREAS!$I$20="Propuesta",IF(AND(AD$7&gt;=TAREAS!$G$20,AD$7&lt;=TAREAS!$H$20,CALENDARIO!$C$34=1),"P",""),IF(ISNUMBER(SEARCH(TEXT(AD$7,"yyyy-mm-dd"),TAREAS!$J$20)),IF(TAREAS!$I$20="Registro Git","R",IF(TAREAS!$I$20="Despliegue documentado","D","L")),""))</f>
        <v/>
      </c>
      <c r="AE21" s="15" t="str">
        <f>IF(TAREAS!$I$20="Propuesta",IF(AND(AE$7&gt;=TAREAS!$G$20,AE$7&lt;=TAREAS!$H$20,CALENDARIO!$C$35=1),"P",""),IF(ISNUMBER(SEARCH(TEXT(AE$7,"yyyy-mm-dd"),TAREAS!$J$20)),IF(TAREAS!$I$20="Registro Git","R",IF(TAREAS!$I$20="Despliegue documentado","D","L")),""))</f>
        <v/>
      </c>
      <c r="AF21" s="14" t="str">
        <f>IF(TAREAS!$I$20="Propuesta",IF(AND(AF$7&gt;=TAREAS!$G$20,AF$7&lt;=TAREAS!$H$20,CALENDARIO!$C$36=1),"P",""),IF(ISNUMBER(SEARCH(TEXT(AF$7,"yyyy-mm-dd"),TAREAS!$J$20)),IF(TAREAS!$I$20="Registro Git","R",IF(TAREAS!$I$20="Despliegue documentado","D","L")),""))</f>
        <v/>
      </c>
      <c r="AG21" s="14" t="str">
        <f>IF(TAREAS!$I$20="Propuesta",IF(AND(AG$7&gt;=TAREAS!$G$20,AG$7&lt;=TAREAS!$H$20,CALENDARIO!$C$37=1),"P",""),IF(ISNUMBER(SEARCH(TEXT(AG$7,"yyyy-mm-dd"),TAREAS!$J$20)),IF(TAREAS!$I$20="Registro Git","R",IF(TAREAS!$I$20="Despliegue documentado","D","L")),""))</f>
        <v/>
      </c>
      <c r="AH21" s="14" t="str">
        <f>IF(TAREAS!$I$20="Propuesta",IF(AND(AH$7&gt;=TAREAS!$G$20,AH$7&lt;=TAREAS!$H$20,CALENDARIO!$C$38=1),"P",""),IF(ISNUMBER(SEARCH(TEXT(AH$7,"yyyy-mm-dd"),TAREAS!$J$20)),IF(TAREAS!$I$20="Registro Git","R",IF(TAREAS!$I$20="Despliegue documentado","D","L")),""))</f>
        <v/>
      </c>
    </row>
    <row r="22" spans="1:34" ht="72" customHeight="1" x14ac:dyDescent="0.25">
      <c r="A22" s="19" t="str">
        <f>TAREAS!C21</f>
        <v>HU-G05 · Como responsable, quiero asignar trabajo y supervisar el cumplimiento.</v>
      </c>
      <c r="B22" s="12" t="str">
        <f>TAREAS!A21&amp;" · "&amp;TAREAS!D21</f>
        <v>T-017 · Asignaciones con documentos, panel y retiro de archivos</v>
      </c>
      <c r="C22" s="12" t="str">
        <f>TAREAS!F21</f>
        <v>yeiserDev</v>
      </c>
      <c r="D22" s="13">
        <f t="shared" si="0"/>
        <v>1</v>
      </c>
      <c r="E22" s="14" t="str">
        <f>IF(TAREAS!$I$21="Propuesta",IF(AND(E$7&gt;=TAREAS!$G$21,E$7&lt;=TAREAS!$H$21,CALENDARIO!$C$9=1),"P",""),IF(ISNUMBER(SEARCH(TEXT(E$7,"yyyy-mm-dd"),TAREAS!$J$21)),IF(TAREAS!$I$21="Registro Git","R",IF(TAREAS!$I$21="Despliegue documentado","D","L")),""))</f>
        <v/>
      </c>
      <c r="F22" s="14" t="str">
        <f>IF(TAREAS!$I$21="Propuesta",IF(AND(F$7&gt;=TAREAS!$G$21,F$7&lt;=TAREAS!$H$21,CALENDARIO!$C$10=1),"P",""),IF(ISNUMBER(SEARCH(TEXT(F$7,"yyyy-mm-dd"),TAREAS!$J$21)),IF(TAREAS!$I$21="Registro Git","R",IF(TAREAS!$I$21="Despliegue documentado","D","L")),""))</f>
        <v/>
      </c>
      <c r="G22" s="14" t="str">
        <f>IF(TAREAS!$I$21="Propuesta",IF(AND(G$7&gt;=TAREAS!$G$21,G$7&lt;=TAREAS!$H$21,CALENDARIO!$C$11=1),"P",""),IF(ISNUMBER(SEARCH(TEXT(G$7,"yyyy-mm-dd"),TAREAS!$J$21)),IF(TAREAS!$I$21="Registro Git","R",IF(TAREAS!$I$21="Despliegue documentado","D","L")),""))</f>
        <v/>
      </c>
      <c r="H22" s="14" t="str">
        <f>IF(TAREAS!$I$21="Propuesta",IF(AND(H$7&gt;=TAREAS!$G$21,H$7&lt;=TAREAS!$H$21,CALENDARIO!$C$12=1),"P",""),IF(ISNUMBER(SEARCH(TEXT(H$7,"yyyy-mm-dd"),TAREAS!$J$21)),IF(TAREAS!$I$21="Registro Git","R",IF(TAREAS!$I$21="Despliegue documentado","D","L")),""))</f>
        <v/>
      </c>
      <c r="I22" s="15" t="str">
        <f>IF(TAREAS!$I$21="Propuesta",IF(AND(I$7&gt;=TAREAS!$G$21,I$7&lt;=TAREAS!$H$21,CALENDARIO!$C$13=1),"P",""),IF(ISNUMBER(SEARCH(TEXT(I$7,"yyyy-mm-dd"),TAREAS!$J$21)),IF(TAREAS!$I$21="Registro Git","R",IF(TAREAS!$I$21="Despliegue documentado","D","L")),""))</f>
        <v/>
      </c>
      <c r="J22" s="15" t="str">
        <f>IF(TAREAS!$I$21="Propuesta",IF(AND(J$7&gt;=TAREAS!$G$21,J$7&lt;=TAREAS!$H$21,CALENDARIO!$C$14=1),"P",""),IF(ISNUMBER(SEARCH(TEXT(J$7,"yyyy-mm-dd"),TAREAS!$J$21)),IF(TAREAS!$I$21="Registro Git","R",IF(TAREAS!$I$21="Despliegue documentado","D","L")),""))</f>
        <v/>
      </c>
      <c r="K22" s="14" t="str">
        <f>IF(TAREAS!$I$21="Propuesta",IF(AND(K$7&gt;=TAREAS!$G$21,K$7&lt;=TAREAS!$H$21,CALENDARIO!$C$15=1),"P",""),IF(ISNUMBER(SEARCH(TEXT(K$7,"yyyy-mm-dd"),TAREAS!$J$21)),IF(TAREAS!$I$21="Registro Git","R",IF(TAREAS!$I$21="Despliegue documentado","D","L")),""))</f>
        <v/>
      </c>
      <c r="L22" s="14" t="str">
        <f>IF(TAREAS!$I$21="Propuesta",IF(AND(L$7&gt;=TAREAS!$G$21,L$7&lt;=TAREAS!$H$21,CALENDARIO!$C$16=1),"P",""),IF(ISNUMBER(SEARCH(TEXT(L$7,"yyyy-mm-dd"),TAREAS!$J$21)),IF(TAREAS!$I$21="Registro Git","R",IF(TAREAS!$I$21="Despliegue documentado","D","L")),""))</f>
        <v/>
      </c>
      <c r="M22" s="14" t="str">
        <f>IF(TAREAS!$I$21="Propuesta",IF(AND(M$7&gt;=TAREAS!$G$21,M$7&lt;=TAREAS!$H$21,CALENDARIO!$C$17=1),"P",""),IF(ISNUMBER(SEARCH(TEXT(M$7,"yyyy-mm-dd"),TAREAS!$J$21)),IF(TAREAS!$I$21="Registro Git","R",IF(TAREAS!$I$21="Despliegue documentado","D","L")),""))</f>
        <v/>
      </c>
      <c r="N22" s="14" t="str">
        <f>IF(TAREAS!$I$21="Propuesta",IF(AND(N$7&gt;=TAREAS!$G$21,N$7&lt;=TAREAS!$H$21,CALENDARIO!$C$18=1),"P",""),IF(ISNUMBER(SEARCH(TEXT(N$7,"yyyy-mm-dd"),TAREAS!$J$21)),IF(TAREAS!$I$21="Registro Git","R",IF(TAREAS!$I$21="Despliegue documentado","D","L")),""))</f>
        <v/>
      </c>
      <c r="O22" s="14" t="str">
        <f>IF(TAREAS!$I$21="Propuesta",IF(AND(O$7&gt;=TAREAS!$G$21,O$7&lt;=TAREAS!$H$21,CALENDARIO!$C$19=1),"P",""),IF(ISNUMBER(SEARCH(TEXT(O$7,"yyyy-mm-dd"),TAREAS!$J$21)),IF(TAREAS!$I$21="Registro Git","R",IF(TAREAS!$I$21="Despliegue documentado","D","L")),""))</f>
        <v/>
      </c>
      <c r="P22" s="15" t="str">
        <f>IF(TAREAS!$I$21="Propuesta",IF(AND(P$7&gt;=TAREAS!$G$21,P$7&lt;=TAREAS!$H$21,CALENDARIO!$C$20=1),"P",""),IF(ISNUMBER(SEARCH(TEXT(P$7,"yyyy-mm-dd"),TAREAS!$J$21)),IF(TAREAS!$I$21="Registro Git","R",IF(TAREAS!$I$21="Despliegue documentado","D","L")),""))</f>
        <v/>
      </c>
      <c r="Q22" s="15" t="str">
        <f>IF(TAREAS!$I$21="Propuesta",IF(AND(Q$7&gt;=TAREAS!$G$21,Q$7&lt;=TAREAS!$H$21,CALENDARIO!$C$21=1),"P",""),IF(ISNUMBER(SEARCH(TEXT(Q$7,"yyyy-mm-dd"),TAREAS!$J$21)),IF(TAREAS!$I$21="Registro Git","R",IF(TAREAS!$I$21="Despliegue documentado","D","L")),""))</f>
        <v/>
      </c>
      <c r="R22" s="14" t="str">
        <f>IF(TAREAS!$I$21="Propuesta",IF(AND(R$7&gt;=TAREAS!$G$21,R$7&lt;=TAREAS!$H$21,CALENDARIO!$C$22=1),"P",""),IF(ISNUMBER(SEARCH(TEXT(R$7,"yyyy-mm-dd"),TAREAS!$J$21)),IF(TAREAS!$I$21="Registro Git","R",IF(TAREAS!$I$21="Despliegue documentado","D","L")),""))</f>
        <v>R</v>
      </c>
      <c r="S22" s="14" t="str">
        <f>IF(TAREAS!$I$21="Propuesta",IF(AND(S$7&gt;=TAREAS!$G$21,S$7&lt;=TAREAS!$H$21,CALENDARIO!$C$23=1),"P",""),IF(ISNUMBER(SEARCH(TEXT(S$7,"yyyy-mm-dd"),TAREAS!$J$21)),IF(TAREAS!$I$21="Registro Git","R",IF(TAREAS!$I$21="Despliegue documentado","D","L")),""))</f>
        <v/>
      </c>
      <c r="T22" s="14" t="str">
        <f>IF(TAREAS!$I$21="Propuesta",IF(AND(T$7&gt;=TAREAS!$G$21,T$7&lt;=TAREAS!$H$21,CALENDARIO!$C$24=1),"P",""),IF(ISNUMBER(SEARCH(TEXT(T$7,"yyyy-mm-dd"),TAREAS!$J$21)),IF(TAREAS!$I$21="Registro Git","R",IF(TAREAS!$I$21="Despliegue documentado","D","L")),""))</f>
        <v/>
      </c>
      <c r="U22" s="14" t="str">
        <f>IF(TAREAS!$I$21="Propuesta",IF(AND(U$7&gt;=TAREAS!$G$21,U$7&lt;=TAREAS!$H$21,CALENDARIO!$C$25=1),"P",""),IF(ISNUMBER(SEARCH(TEXT(U$7,"yyyy-mm-dd"),TAREAS!$J$21)),IF(TAREAS!$I$21="Registro Git","R",IF(TAREAS!$I$21="Despliegue documentado","D","L")),""))</f>
        <v/>
      </c>
      <c r="V22" s="14" t="str">
        <f>IF(TAREAS!$I$21="Propuesta",IF(AND(V$7&gt;=TAREAS!$G$21,V$7&lt;=TAREAS!$H$21,CALENDARIO!$C$26=1),"P",""),IF(ISNUMBER(SEARCH(TEXT(V$7,"yyyy-mm-dd"),TAREAS!$J$21)),IF(TAREAS!$I$21="Registro Git","R",IF(TAREAS!$I$21="Despliegue documentado","D","L")),""))</f>
        <v/>
      </c>
      <c r="W22" s="15" t="str">
        <f>IF(TAREAS!$I$21="Propuesta",IF(AND(W$7&gt;=TAREAS!$G$21,W$7&lt;=TAREAS!$H$21,CALENDARIO!$C$27=1),"P",""),IF(ISNUMBER(SEARCH(TEXT(W$7,"yyyy-mm-dd"),TAREAS!$J$21)),IF(TAREAS!$I$21="Registro Git","R",IF(TAREAS!$I$21="Despliegue documentado","D","L")),""))</f>
        <v/>
      </c>
      <c r="X22" s="15" t="str">
        <f>IF(TAREAS!$I$21="Propuesta",IF(AND(X$7&gt;=TAREAS!$G$21,X$7&lt;=TAREAS!$H$21,CALENDARIO!$C$28=1),"P",""),IF(ISNUMBER(SEARCH(TEXT(X$7,"yyyy-mm-dd"),TAREAS!$J$21)),IF(TAREAS!$I$21="Registro Git","R",IF(TAREAS!$I$21="Despliegue documentado","D","L")),""))</f>
        <v/>
      </c>
      <c r="Y22" s="14" t="str">
        <f>IF(TAREAS!$I$21="Propuesta",IF(AND(Y$7&gt;=TAREAS!$G$21,Y$7&lt;=TAREAS!$H$21,CALENDARIO!$C$29=1),"P",""),IF(ISNUMBER(SEARCH(TEXT(Y$7,"yyyy-mm-dd"),TAREAS!$J$21)),IF(TAREAS!$I$21="Registro Git","R",IF(TAREAS!$I$21="Despliegue documentado","D","L")),""))</f>
        <v/>
      </c>
      <c r="Z22" s="14" t="str">
        <f>IF(TAREAS!$I$21="Propuesta",IF(AND(Z$7&gt;=TAREAS!$G$21,Z$7&lt;=TAREAS!$H$21,CALENDARIO!$C$30=1),"P",""),IF(ISNUMBER(SEARCH(TEXT(Z$7,"yyyy-mm-dd"),TAREAS!$J$21)),IF(TAREAS!$I$21="Registro Git","R",IF(TAREAS!$I$21="Despliegue documentado","D","L")),""))</f>
        <v/>
      </c>
      <c r="AA22" s="14" t="str">
        <f>IF(TAREAS!$I$21="Propuesta",IF(AND(AA$7&gt;=TAREAS!$G$21,AA$7&lt;=TAREAS!$H$21,CALENDARIO!$C$31=1),"P",""),IF(ISNUMBER(SEARCH(TEXT(AA$7,"yyyy-mm-dd"),TAREAS!$J$21)),IF(TAREAS!$I$21="Registro Git","R",IF(TAREAS!$I$21="Despliegue documentado","D","L")),""))</f>
        <v/>
      </c>
      <c r="AB22" s="14" t="str">
        <f>IF(TAREAS!$I$21="Propuesta",IF(AND(AB$7&gt;=TAREAS!$G$21,AB$7&lt;=TAREAS!$H$21,CALENDARIO!$C$32=1),"P",""),IF(ISNUMBER(SEARCH(TEXT(AB$7,"yyyy-mm-dd"),TAREAS!$J$21)),IF(TAREAS!$I$21="Registro Git","R",IF(TAREAS!$I$21="Despliegue documentado","D","L")),""))</f>
        <v/>
      </c>
      <c r="AC22" s="14" t="str">
        <f>IF(TAREAS!$I$21="Propuesta",IF(AND(AC$7&gt;=TAREAS!$G$21,AC$7&lt;=TAREAS!$H$21,CALENDARIO!$C$33=1),"P",""),IF(ISNUMBER(SEARCH(TEXT(AC$7,"yyyy-mm-dd"),TAREAS!$J$21)),IF(TAREAS!$I$21="Registro Git","R",IF(TAREAS!$I$21="Despliegue documentado","D","L")),""))</f>
        <v/>
      </c>
      <c r="AD22" s="15" t="str">
        <f>IF(TAREAS!$I$21="Propuesta",IF(AND(AD$7&gt;=TAREAS!$G$21,AD$7&lt;=TAREAS!$H$21,CALENDARIO!$C$34=1),"P",""),IF(ISNUMBER(SEARCH(TEXT(AD$7,"yyyy-mm-dd"),TAREAS!$J$21)),IF(TAREAS!$I$21="Registro Git","R",IF(TAREAS!$I$21="Despliegue documentado","D","L")),""))</f>
        <v/>
      </c>
      <c r="AE22" s="15" t="str">
        <f>IF(TAREAS!$I$21="Propuesta",IF(AND(AE$7&gt;=TAREAS!$G$21,AE$7&lt;=TAREAS!$H$21,CALENDARIO!$C$35=1),"P",""),IF(ISNUMBER(SEARCH(TEXT(AE$7,"yyyy-mm-dd"),TAREAS!$J$21)),IF(TAREAS!$I$21="Registro Git","R",IF(TAREAS!$I$21="Despliegue documentado","D","L")),""))</f>
        <v/>
      </c>
      <c r="AF22" s="14" t="str">
        <f>IF(TAREAS!$I$21="Propuesta",IF(AND(AF$7&gt;=TAREAS!$G$21,AF$7&lt;=TAREAS!$H$21,CALENDARIO!$C$36=1),"P",""),IF(ISNUMBER(SEARCH(TEXT(AF$7,"yyyy-mm-dd"),TAREAS!$J$21)),IF(TAREAS!$I$21="Registro Git","R",IF(TAREAS!$I$21="Despliegue documentado","D","L")),""))</f>
        <v/>
      </c>
      <c r="AG22" s="14" t="str">
        <f>IF(TAREAS!$I$21="Propuesta",IF(AND(AG$7&gt;=TAREAS!$G$21,AG$7&lt;=TAREAS!$H$21,CALENDARIO!$C$37=1),"P",""),IF(ISNUMBER(SEARCH(TEXT(AG$7,"yyyy-mm-dd"),TAREAS!$J$21)),IF(TAREAS!$I$21="Registro Git","R",IF(TAREAS!$I$21="Despliegue documentado","D","L")),""))</f>
        <v/>
      </c>
      <c r="AH22" s="14" t="str">
        <f>IF(TAREAS!$I$21="Propuesta",IF(AND(AH$7&gt;=TAREAS!$G$21,AH$7&lt;=TAREAS!$H$21,CALENDARIO!$C$38=1),"P",""),IF(ISNUMBER(SEARCH(TEXT(AH$7,"yyyy-mm-dd"),TAREAS!$J$21)),IF(TAREAS!$I$21="Registro Git","R",IF(TAREAS!$I$21="Despliegue documentado","D","L")),""))</f>
        <v/>
      </c>
    </row>
    <row r="23" spans="1:34" ht="72" customHeight="1" x14ac:dyDescent="0.25">
      <c r="A23" s="20" t="str">
        <f>TAREAS!C22</f>
        <v>HU-G06 · Como usuario, quiero comunicarme con mi equipo y consultar avisos.</v>
      </c>
      <c r="B23" s="12" t="str">
        <f>TAREAS!A22&amp;" · "&amp;TAREAS!D22</f>
        <v>T-018 · Chat con alertas, imágenes y sonido</v>
      </c>
      <c r="C23" s="12" t="str">
        <f>TAREAS!F22</f>
        <v>JhonyVX, yeiserDev</v>
      </c>
      <c r="D23" s="13">
        <f t="shared" si="0"/>
        <v>2</v>
      </c>
      <c r="E23" s="14" t="str">
        <f>IF(TAREAS!$I$22="Propuesta",IF(AND(E$7&gt;=TAREAS!$G$22,E$7&lt;=TAREAS!$H$22,CALENDARIO!$C$9=1),"P",""),IF(ISNUMBER(SEARCH(TEXT(E$7,"yyyy-mm-dd"),TAREAS!$J$22)),IF(TAREAS!$I$22="Registro Git","R",IF(TAREAS!$I$22="Despliegue documentado","D","L")),""))</f>
        <v/>
      </c>
      <c r="F23" s="14" t="str">
        <f>IF(TAREAS!$I$22="Propuesta",IF(AND(F$7&gt;=TAREAS!$G$22,F$7&lt;=TAREAS!$H$22,CALENDARIO!$C$10=1),"P",""),IF(ISNUMBER(SEARCH(TEXT(F$7,"yyyy-mm-dd"),TAREAS!$J$22)),IF(TAREAS!$I$22="Registro Git","R",IF(TAREAS!$I$22="Despliegue documentado","D","L")),""))</f>
        <v/>
      </c>
      <c r="G23" s="14" t="str">
        <f>IF(TAREAS!$I$22="Propuesta",IF(AND(G$7&gt;=TAREAS!$G$22,G$7&lt;=TAREAS!$H$22,CALENDARIO!$C$11=1),"P",""),IF(ISNUMBER(SEARCH(TEXT(G$7,"yyyy-mm-dd"),TAREAS!$J$22)),IF(TAREAS!$I$22="Registro Git","R",IF(TAREAS!$I$22="Despliegue documentado","D","L")),""))</f>
        <v/>
      </c>
      <c r="H23" s="14" t="str">
        <f>IF(TAREAS!$I$22="Propuesta",IF(AND(H$7&gt;=TAREAS!$G$22,H$7&lt;=TAREAS!$H$22,CALENDARIO!$C$12=1),"P",""),IF(ISNUMBER(SEARCH(TEXT(H$7,"yyyy-mm-dd"),TAREAS!$J$22)),IF(TAREAS!$I$22="Registro Git","R",IF(TAREAS!$I$22="Despliegue documentado","D","L")),""))</f>
        <v/>
      </c>
      <c r="I23" s="15" t="str">
        <f>IF(TAREAS!$I$22="Propuesta",IF(AND(I$7&gt;=TAREAS!$G$22,I$7&lt;=TAREAS!$H$22,CALENDARIO!$C$13=1),"P",""),IF(ISNUMBER(SEARCH(TEXT(I$7,"yyyy-mm-dd"),TAREAS!$J$22)),IF(TAREAS!$I$22="Registro Git","R",IF(TAREAS!$I$22="Despliegue documentado","D","L")),""))</f>
        <v/>
      </c>
      <c r="J23" s="15" t="str">
        <f>IF(TAREAS!$I$22="Propuesta",IF(AND(J$7&gt;=TAREAS!$G$22,J$7&lt;=TAREAS!$H$22,CALENDARIO!$C$14=1),"P",""),IF(ISNUMBER(SEARCH(TEXT(J$7,"yyyy-mm-dd"),TAREAS!$J$22)),IF(TAREAS!$I$22="Registro Git","R",IF(TAREAS!$I$22="Despliegue documentado","D","L")),""))</f>
        <v/>
      </c>
      <c r="K23" s="14" t="str">
        <f>IF(TAREAS!$I$22="Propuesta",IF(AND(K$7&gt;=TAREAS!$G$22,K$7&lt;=TAREAS!$H$22,CALENDARIO!$C$15=1),"P",""),IF(ISNUMBER(SEARCH(TEXT(K$7,"yyyy-mm-dd"),TAREAS!$J$22)),IF(TAREAS!$I$22="Registro Git","R",IF(TAREAS!$I$22="Despliegue documentado","D","L")),""))</f>
        <v/>
      </c>
      <c r="L23" s="14" t="str">
        <f>IF(TAREAS!$I$22="Propuesta",IF(AND(L$7&gt;=TAREAS!$G$22,L$7&lt;=TAREAS!$H$22,CALENDARIO!$C$16=1),"P",""),IF(ISNUMBER(SEARCH(TEXT(L$7,"yyyy-mm-dd"),TAREAS!$J$22)),IF(TAREAS!$I$22="Registro Git","R",IF(TAREAS!$I$22="Despliegue documentado","D","L")),""))</f>
        <v/>
      </c>
      <c r="M23" s="14" t="str">
        <f>IF(TAREAS!$I$22="Propuesta",IF(AND(M$7&gt;=TAREAS!$G$22,M$7&lt;=TAREAS!$H$22,CALENDARIO!$C$17=1),"P",""),IF(ISNUMBER(SEARCH(TEXT(M$7,"yyyy-mm-dd"),TAREAS!$J$22)),IF(TAREAS!$I$22="Registro Git","R",IF(TAREAS!$I$22="Despliegue documentado","D","L")),""))</f>
        <v/>
      </c>
      <c r="N23" s="14" t="str">
        <f>IF(TAREAS!$I$22="Propuesta",IF(AND(N$7&gt;=TAREAS!$G$22,N$7&lt;=TAREAS!$H$22,CALENDARIO!$C$18=1),"P",""),IF(ISNUMBER(SEARCH(TEXT(N$7,"yyyy-mm-dd"),TAREAS!$J$22)),IF(TAREAS!$I$22="Registro Git","R",IF(TAREAS!$I$22="Despliegue documentado","D","L")),""))</f>
        <v/>
      </c>
      <c r="O23" s="14" t="str">
        <f>IF(TAREAS!$I$22="Propuesta",IF(AND(O$7&gt;=TAREAS!$G$22,O$7&lt;=TAREAS!$H$22,CALENDARIO!$C$19=1),"P",""),IF(ISNUMBER(SEARCH(TEXT(O$7,"yyyy-mm-dd"),TAREAS!$J$22)),IF(TAREAS!$I$22="Registro Git","R",IF(TAREAS!$I$22="Despliegue documentado","D","L")),""))</f>
        <v/>
      </c>
      <c r="P23" s="15" t="str">
        <f>IF(TAREAS!$I$22="Propuesta",IF(AND(P$7&gt;=TAREAS!$G$22,P$7&lt;=TAREAS!$H$22,CALENDARIO!$C$20=1),"P",""),IF(ISNUMBER(SEARCH(TEXT(P$7,"yyyy-mm-dd"),TAREAS!$J$22)),IF(TAREAS!$I$22="Registro Git","R",IF(TAREAS!$I$22="Despliegue documentado","D","L")),""))</f>
        <v/>
      </c>
      <c r="Q23" s="15" t="str">
        <f>IF(TAREAS!$I$22="Propuesta",IF(AND(Q$7&gt;=TAREAS!$G$22,Q$7&lt;=TAREAS!$H$22,CALENDARIO!$C$21=1),"P",""),IF(ISNUMBER(SEARCH(TEXT(Q$7,"yyyy-mm-dd"),TAREAS!$J$22)),IF(TAREAS!$I$22="Registro Git","R",IF(TAREAS!$I$22="Despliegue documentado","D","L")),""))</f>
        <v/>
      </c>
      <c r="R23" s="14" t="str">
        <f>IF(TAREAS!$I$22="Propuesta",IF(AND(R$7&gt;=TAREAS!$G$22,R$7&lt;=TAREAS!$H$22,CALENDARIO!$C$22=1),"P",""),IF(ISNUMBER(SEARCH(TEXT(R$7,"yyyy-mm-dd"),TAREAS!$J$22)),IF(TAREAS!$I$22="Registro Git","R",IF(TAREAS!$I$22="Despliegue documentado","D","L")),""))</f>
        <v>R</v>
      </c>
      <c r="S23" s="14" t="str">
        <f>IF(TAREAS!$I$22="Propuesta",IF(AND(S$7&gt;=TAREAS!$G$22,S$7&lt;=TAREAS!$H$22,CALENDARIO!$C$23=1),"P",""),IF(ISNUMBER(SEARCH(TEXT(S$7,"yyyy-mm-dd"),TAREAS!$J$22)),IF(TAREAS!$I$22="Registro Git","R",IF(TAREAS!$I$22="Despliegue documentado","D","L")),""))</f>
        <v>R</v>
      </c>
      <c r="T23" s="14" t="str">
        <f>IF(TAREAS!$I$22="Propuesta",IF(AND(T$7&gt;=TAREAS!$G$22,T$7&lt;=TAREAS!$H$22,CALENDARIO!$C$24=1),"P",""),IF(ISNUMBER(SEARCH(TEXT(T$7,"yyyy-mm-dd"),TAREAS!$J$22)),IF(TAREAS!$I$22="Registro Git","R",IF(TAREAS!$I$22="Despliegue documentado","D","L")),""))</f>
        <v/>
      </c>
      <c r="U23" s="14" t="str">
        <f>IF(TAREAS!$I$22="Propuesta",IF(AND(U$7&gt;=TAREAS!$G$22,U$7&lt;=TAREAS!$H$22,CALENDARIO!$C$25=1),"P",""),IF(ISNUMBER(SEARCH(TEXT(U$7,"yyyy-mm-dd"),TAREAS!$J$22)),IF(TAREAS!$I$22="Registro Git","R",IF(TAREAS!$I$22="Despliegue documentado","D","L")),""))</f>
        <v/>
      </c>
      <c r="V23" s="14" t="str">
        <f>IF(TAREAS!$I$22="Propuesta",IF(AND(V$7&gt;=TAREAS!$G$22,V$7&lt;=TAREAS!$H$22,CALENDARIO!$C$26=1),"P",""),IF(ISNUMBER(SEARCH(TEXT(V$7,"yyyy-mm-dd"),TAREAS!$J$22)),IF(TAREAS!$I$22="Registro Git","R",IF(TAREAS!$I$22="Despliegue documentado","D","L")),""))</f>
        <v/>
      </c>
      <c r="W23" s="15" t="str">
        <f>IF(TAREAS!$I$22="Propuesta",IF(AND(W$7&gt;=TAREAS!$G$22,W$7&lt;=TAREAS!$H$22,CALENDARIO!$C$27=1),"P",""),IF(ISNUMBER(SEARCH(TEXT(W$7,"yyyy-mm-dd"),TAREAS!$J$22)),IF(TAREAS!$I$22="Registro Git","R",IF(TAREAS!$I$22="Despliegue documentado","D","L")),""))</f>
        <v/>
      </c>
      <c r="X23" s="15" t="str">
        <f>IF(TAREAS!$I$22="Propuesta",IF(AND(X$7&gt;=TAREAS!$G$22,X$7&lt;=TAREAS!$H$22,CALENDARIO!$C$28=1),"P",""),IF(ISNUMBER(SEARCH(TEXT(X$7,"yyyy-mm-dd"),TAREAS!$J$22)),IF(TAREAS!$I$22="Registro Git","R",IF(TAREAS!$I$22="Despliegue documentado","D","L")),""))</f>
        <v/>
      </c>
      <c r="Y23" s="14" t="str">
        <f>IF(TAREAS!$I$22="Propuesta",IF(AND(Y$7&gt;=TAREAS!$G$22,Y$7&lt;=TAREAS!$H$22,CALENDARIO!$C$29=1),"P",""),IF(ISNUMBER(SEARCH(TEXT(Y$7,"yyyy-mm-dd"),TAREAS!$J$22)),IF(TAREAS!$I$22="Registro Git","R",IF(TAREAS!$I$22="Despliegue documentado","D","L")),""))</f>
        <v/>
      </c>
      <c r="Z23" s="14" t="str">
        <f>IF(TAREAS!$I$22="Propuesta",IF(AND(Z$7&gt;=TAREAS!$G$22,Z$7&lt;=TAREAS!$H$22,CALENDARIO!$C$30=1),"P",""),IF(ISNUMBER(SEARCH(TEXT(Z$7,"yyyy-mm-dd"),TAREAS!$J$22)),IF(TAREAS!$I$22="Registro Git","R",IF(TAREAS!$I$22="Despliegue documentado","D","L")),""))</f>
        <v/>
      </c>
      <c r="AA23" s="14" t="str">
        <f>IF(TAREAS!$I$22="Propuesta",IF(AND(AA$7&gt;=TAREAS!$G$22,AA$7&lt;=TAREAS!$H$22,CALENDARIO!$C$31=1),"P",""),IF(ISNUMBER(SEARCH(TEXT(AA$7,"yyyy-mm-dd"),TAREAS!$J$22)),IF(TAREAS!$I$22="Registro Git","R",IF(TAREAS!$I$22="Despliegue documentado","D","L")),""))</f>
        <v/>
      </c>
      <c r="AB23" s="14" t="str">
        <f>IF(TAREAS!$I$22="Propuesta",IF(AND(AB$7&gt;=TAREAS!$G$22,AB$7&lt;=TAREAS!$H$22,CALENDARIO!$C$32=1),"P",""),IF(ISNUMBER(SEARCH(TEXT(AB$7,"yyyy-mm-dd"),TAREAS!$J$22)),IF(TAREAS!$I$22="Registro Git","R",IF(TAREAS!$I$22="Despliegue documentado","D","L")),""))</f>
        <v/>
      </c>
      <c r="AC23" s="14" t="str">
        <f>IF(TAREAS!$I$22="Propuesta",IF(AND(AC$7&gt;=TAREAS!$G$22,AC$7&lt;=TAREAS!$H$22,CALENDARIO!$C$33=1),"P",""),IF(ISNUMBER(SEARCH(TEXT(AC$7,"yyyy-mm-dd"),TAREAS!$J$22)),IF(TAREAS!$I$22="Registro Git","R",IF(TAREAS!$I$22="Despliegue documentado","D","L")),""))</f>
        <v/>
      </c>
      <c r="AD23" s="15" t="str">
        <f>IF(TAREAS!$I$22="Propuesta",IF(AND(AD$7&gt;=TAREAS!$G$22,AD$7&lt;=TAREAS!$H$22,CALENDARIO!$C$34=1),"P",""),IF(ISNUMBER(SEARCH(TEXT(AD$7,"yyyy-mm-dd"),TAREAS!$J$22)),IF(TAREAS!$I$22="Registro Git","R",IF(TAREAS!$I$22="Despliegue documentado","D","L")),""))</f>
        <v/>
      </c>
      <c r="AE23" s="15" t="str">
        <f>IF(TAREAS!$I$22="Propuesta",IF(AND(AE$7&gt;=TAREAS!$G$22,AE$7&lt;=TAREAS!$H$22,CALENDARIO!$C$35=1),"P",""),IF(ISNUMBER(SEARCH(TEXT(AE$7,"yyyy-mm-dd"),TAREAS!$J$22)),IF(TAREAS!$I$22="Registro Git","R",IF(TAREAS!$I$22="Despliegue documentado","D","L")),""))</f>
        <v/>
      </c>
      <c r="AF23" s="14" t="str">
        <f>IF(TAREAS!$I$22="Propuesta",IF(AND(AF$7&gt;=TAREAS!$G$22,AF$7&lt;=TAREAS!$H$22,CALENDARIO!$C$36=1),"P",""),IF(ISNUMBER(SEARCH(TEXT(AF$7,"yyyy-mm-dd"),TAREAS!$J$22)),IF(TAREAS!$I$22="Registro Git","R",IF(TAREAS!$I$22="Despliegue documentado","D","L")),""))</f>
        <v/>
      </c>
      <c r="AG23" s="14" t="str">
        <f>IF(TAREAS!$I$22="Propuesta",IF(AND(AG$7&gt;=TAREAS!$G$22,AG$7&lt;=TAREAS!$H$22,CALENDARIO!$C$37=1),"P",""),IF(ISNUMBER(SEARCH(TEXT(AG$7,"yyyy-mm-dd"),TAREAS!$J$22)),IF(TAREAS!$I$22="Registro Git","R",IF(TAREAS!$I$22="Despliegue documentado","D","L")),""))</f>
        <v/>
      </c>
      <c r="AH23" s="14" t="str">
        <f>IF(TAREAS!$I$22="Propuesta",IF(AND(AH$7&gt;=TAREAS!$G$22,AH$7&lt;=TAREAS!$H$22,CALENDARIO!$C$38=1),"P",""),IF(ISNUMBER(SEARCH(TEXT(AH$7,"yyyy-mm-dd"),TAREAS!$J$22)),IF(TAREAS!$I$22="Registro Git","R",IF(TAREAS!$I$22="Despliegue documentado","D","L")),""))</f>
        <v/>
      </c>
    </row>
    <row r="24" spans="1:34" ht="72" customHeight="1" x14ac:dyDescent="0.25">
      <c r="A24" s="18" t="str">
        <f>TAREAS!C23</f>
        <v>HU-G04 · Como colaborador, quiero entregar evidencias y conocer el cierre de mi jornada.</v>
      </c>
      <c r="B24" s="12" t="str">
        <f>TAREAS!A23&amp;" · "&amp;TAREAS!D23</f>
        <v>T-019 · Respeto de jornadas justificadas</v>
      </c>
      <c r="C24" s="12" t="str">
        <f>TAREAS!F23</f>
        <v>yeiserDev</v>
      </c>
      <c r="D24" s="13">
        <f t="shared" si="0"/>
        <v>1</v>
      </c>
      <c r="E24" s="14" t="str">
        <f>IF(TAREAS!$I$23="Propuesta",IF(AND(E$7&gt;=TAREAS!$G$23,E$7&lt;=TAREAS!$H$23,CALENDARIO!$C$9=1),"P",""),IF(ISNUMBER(SEARCH(TEXT(E$7,"yyyy-mm-dd"),TAREAS!$J$23)),IF(TAREAS!$I$23="Registro Git","R",IF(TAREAS!$I$23="Despliegue documentado","D","L")),""))</f>
        <v/>
      </c>
      <c r="F24" s="14" t="str">
        <f>IF(TAREAS!$I$23="Propuesta",IF(AND(F$7&gt;=TAREAS!$G$23,F$7&lt;=TAREAS!$H$23,CALENDARIO!$C$10=1),"P",""),IF(ISNUMBER(SEARCH(TEXT(F$7,"yyyy-mm-dd"),TAREAS!$J$23)),IF(TAREAS!$I$23="Registro Git","R",IF(TAREAS!$I$23="Despliegue documentado","D","L")),""))</f>
        <v/>
      </c>
      <c r="G24" s="14" t="str">
        <f>IF(TAREAS!$I$23="Propuesta",IF(AND(G$7&gt;=TAREAS!$G$23,G$7&lt;=TAREAS!$H$23,CALENDARIO!$C$11=1),"P",""),IF(ISNUMBER(SEARCH(TEXT(G$7,"yyyy-mm-dd"),TAREAS!$J$23)),IF(TAREAS!$I$23="Registro Git","R",IF(TAREAS!$I$23="Despliegue documentado","D","L")),""))</f>
        <v/>
      </c>
      <c r="H24" s="14" t="str">
        <f>IF(TAREAS!$I$23="Propuesta",IF(AND(H$7&gt;=TAREAS!$G$23,H$7&lt;=TAREAS!$H$23,CALENDARIO!$C$12=1),"P",""),IF(ISNUMBER(SEARCH(TEXT(H$7,"yyyy-mm-dd"),TAREAS!$J$23)),IF(TAREAS!$I$23="Registro Git","R",IF(TAREAS!$I$23="Despliegue documentado","D","L")),""))</f>
        <v/>
      </c>
      <c r="I24" s="15" t="str">
        <f>IF(TAREAS!$I$23="Propuesta",IF(AND(I$7&gt;=TAREAS!$G$23,I$7&lt;=TAREAS!$H$23,CALENDARIO!$C$13=1),"P",""),IF(ISNUMBER(SEARCH(TEXT(I$7,"yyyy-mm-dd"),TAREAS!$J$23)),IF(TAREAS!$I$23="Registro Git","R",IF(TAREAS!$I$23="Despliegue documentado","D","L")),""))</f>
        <v/>
      </c>
      <c r="J24" s="15" t="str">
        <f>IF(TAREAS!$I$23="Propuesta",IF(AND(J$7&gt;=TAREAS!$G$23,J$7&lt;=TAREAS!$H$23,CALENDARIO!$C$14=1),"P",""),IF(ISNUMBER(SEARCH(TEXT(J$7,"yyyy-mm-dd"),TAREAS!$J$23)),IF(TAREAS!$I$23="Registro Git","R",IF(TAREAS!$I$23="Despliegue documentado","D","L")),""))</f>
        <v/>
      </c>
      <c r="K24" s="14" t="str">
        <f>IF(TAREAS!$I$23="Propuesta",IF(AND(K$7&gt;=TAREAS!$G$23,K$7&lt;=TAREAS!$H$23,CALENDARIO!$C$15=1),"P",""),IF(ISNUMBER(SEARCH(TEXT(K$7,"yyyy-mm-dd"),TAREAS!$J$23)),IF(TAREAS!$I$23="Registro Git","R",IF(TAREAS!$I$23="Despliegue documentado","D","L")),""))</f>
        <v/>
      </c>
      <c r="L24" s="14" t="str">
        <f>IF(TAREAS!$I$23="Propuesta",IF(AND(L$7&gt;=TAREAS!$G$23,L$7&lt;=TAREAS!$H$23,CALENDARIO!$C$16=1),"P",""),IF(ISNUMBER(SEARCH(TEXT(L$7,"yyyy-mm-dd"),TAREAS!$J$23)),IF(TAREAS!$I$23="Registro Git","R",IF(TAREAS!$I$23="Despliegue documentado","D","L")),""))</f>
        <v/>
      </c>
      <c r="M24" s="14" t="str">
        <f>IF(TAREAS!$I$23="Propuesta",IF(AND(M$7&gt;=TAREAS!$G$23,M$7&lt;=TAREAS!$H$23,CALENDARIO!$C$17=1),"P",""),IF(ISNUMBER(SEARCH(TEXT(M$7,"yyyy-mm-dd"),TAREAS!$J$23)),IF(TAREAS!$I$23="Registro Git","R",IF(TAREAS!$I$23="Despliegue documentado","D","L")),""))</f>
        <v/>
      </c>
      <c r="N24" s="14" t="str">
        <f>IF(TAREAS!$I$23="Propuesta",IF(AND(N$7&gt;=TAREAS!$G$23,N$7&lt;=TAREAS!$H$23,CALENDARIO!$C$18=1),"P",""),IF(ISNUMBER(SEARCH(TEXT(N$7,"yyyy-mm-dd"),TAREAS!$J$23)),IF(TAREAS!$I$23="Registro Git","R",IF(TAREAS!$I$23="Despliegue documentado","D","L")),""))</f>
        <v/>
      </c>
      <c r="O24" s="14" t="str">
        <f>IF(TAREAS!$I$23="Propuesta",IF(AND(O$7&gt;=TAREAS!$G$23,O$7&lt;=TAREAS!$H$23,CALENDARIO!$C$19=1),"P",""),IF(ISNUMBER(SEARCH(TEXT(O$7,"yyyy-mm-dd"),TAREAS!$J$23)),IF(TAREAS!$I$23="Registro Git","R",IF(TAREAS!$I$23="Despliegue documentado","D","L")),""))</f>
        <v/>
      </c>
      <c r="P24" s="15" t="str">
        <f>IF(TAREAS!$I$23="Propuesta",IF(AND(P$7&gt;=TAREAS!$G$23,P$7&lt;=TAREAS!$H$23,CALENDARIO!$C$20=1),"P",""),IF(ISNUMBER(SEARCH(TEXT(P$7,"yyyy-mm-dd"),TAREAS!$J$23)),IF(TAREAS!$I$23="Registro Git","R",IF(TAREAS!$I$23="Despliegue documentado","D","L")),""))</f>
        <v/>
      </c>
      <c r="Q24" s="15" t="str">
        <f>IF(TAREAS!$I$23="Propuesta",IF(AND(Q$7&gt;=TAREAS!$G$23,Q$7&lt;=TAREAS!$H$23,CALENDARIO!$C$21=1),"P",""),IF(ISNUMBER(SEARCH(TEXT(Q$7,"yyyy-mm-dd"),TAREAS!$J$23)),IF(TAREAS!$I$23="Registro Git","R",IF(TAREAS!$I$23="Despliegue documentado","D","L")),""))</f>
        <v/>
      </c>
      <c r="R24" s="14" t="str">
        <f>IF(TAREAS!$I$23="Propuesta",IF(AND(R$7&gt;=TAREAS!$G$23,R$7&lt;=TAREAS!$H$23,CALENDARIO!$C$22=1),"P",""),IF(ISNUMBER(SEARCH(TEXT(R$7,"yyyy-mm-dd"),TAREAS!$J$23)),IF(TAREAS!$I$23="Registro Git","R",IF(TAREAS!$I$23="Despliegue documentado","D","L")),""))</f>
        <v/>
      </c>
      <c r="S24" s="14" t="str">
        <f>IF(TAREAS!$I$23="Propuesta",IF(AND(S$7&gt;=TAREAS!$G$23,S$7&lt;=TAREAS!$H$23,CALENDARIO!$C$23=1),"P",""),IF(ISNUMBER(SEARCH(TEXT(S$7,"yyyy-mm-dd"),TAREAS!$J$23)),IF(TAREAS!$I$23="Registro Git","R",IF(TAREAS!$I$23="Despliegue documentado","D","L")),""))</f>
        <v>R</v>
      </c>
      <c r="T24" s="14" t="str">
        <f>IF(TAREAS!$I$23="Propuesta",IF(AND(T$7&gt;=TAREAS!$G$23,T$7&lt;=TAREAS!$H$23,CALENDARIO!$C$24=1),"P",""),IF(ISNUMBER(SEARCH(TEXT(T$7,"yyyy-mm-dd"),TAREAS!$J$23)),IF(TAREAS!$I$23="Registro Git","R",IF(TAREAS!$I$23="Despliegue documentado","D","L")),""))</f>
        <v/>
      </c>
      <c r="U24" s="14" t="str">
        <f>IF(TAREAS!$I$23="Propuesta",IF(AND(U$7&gt;=TAREAS!$G$23,U$7&lt;=TAREAS!$H$23,CALENDARIO!$C$25=1),"P",""),IF(ISNUMBER(SEARCH(TEXT(U$7,"yyyy-mm-dd"),TAREAS!$J$23)),IF(TAREAS!$I$23="Registro Git","R",IF(TAREAS!$I$23="Despliegue documentado","D","L")),""))</f>
        <v/>
      </c>
      <c r="V24" s="14" t="str">
        <f>IF(TAREAS!$I$23="Propuesta",IF(AND(V$7&gt;=TAREAS!$G$23,V$7&lt;=TAREAS!$H$23,CALENDARIO!$C$26=1),"P",""),IF(ISNUMBER(SEARCH(TEXT(V$7,"yyyy-mm-dd"),TAREAS!$J$23)),IF(TAREAS!$I$23="Registro Git","R",IF(TAREAS!$I$23="Despliegue documentado","D","L")),""))</f>
        <v/>
      </c>
      <c r="W24" s="15" t="str">
        <f>IF(TAREAS!$I$23="Propuesta",IF(AND(W$7&gt;=TAREAS!$G$23,W$7&lt;=TAREAS!$H$23,CALENDARIO!$C$27=1),"P",""),IF(ISNUMBER(SEARCH(TEXT(W$7,"yyyy-mm-dd"),TAREAS!$J$23)),IF(TAREAS!$I$23="Registro Git","R",IF(TAREAS!$I$23="Despliegue documentado","D","L")),""))</f>
        <v/>
      </c>
      <c r="X24" s="15" t="str">
        <f>IF(TAREAS!$I$23="Propuesta",IF(AND(X$7&gt;=TAREAS!$G$23,X$7&lt;=TAREAS!$H$23,CALENDARIO!$C$28=1),"P",""),IF(ISNUMBER(SEARCH(TEXT(X$7,"yyyy-mm-dd"),TAREAS!$J$23)),IF(TAREAS!$I$23="Registro Git","R",IF(TAREAS!$I$23="Despliegue documentado","D","L")),""))</f>
        <v/>
      </c>
      <c r="Y24" s="14" t="str">
        <f>IF(TAREAS!$I$23="Propuesta",IF(AND(Y$7&gt;=TAREAS!$G$23,Y$7&lt;=TAREAS!$H$23,CALENDARIO!$C$29=1),"P",""),IF(ISNUMBER(SEARCH(TEXT(Y$7,"yyyy-mm-dd"),TAREAS!$J$23)),IF(TAREAS!$I$23="Registro Git","R",IF(TAREAS!$I$23="Despliegue documentado","D","L")),""))</f>
        <v/>
      </c>
      <c r="Z24" s="14" t="str">
        <f>IF(TAREAS!$I$23="Propuesta",IF(AND(Z$7&gt;=TAREAS!$G$23,Z$7&lt;=TAREAS!$H$23,CALENDARIO!$C$30=1),"P",""),IF(ISNUMBER(SEARCH(TEXT(Z$7,"yyyy-mm-dd"),TAREAS!$J$23)),IF(TAREAS!$I$23="Registro Git","R",IF(TAREAS!$I$23="Despliegue documentado","D","L")),""))</f>
        <v/>
      </c>
      <c r="AA24" s="14" t="str">
        <f>IF(TAREAS!$I$23="Propuesta",IF(AND(AA$7&gt;=TAREAS!$G$23,AA$7&lt;=TAREAS!$H$23,CALENDARIO!$C$31=1),"P",""),IF(ISNUMBER(SEARCH(TEXT(AA$7,"yyyy-mm-dd"),TAREAS!$J$23)),IF(TAREAS!$I$23="Registro Git","R",IF(TAREAS!$I$23="Despliegue documentado","D","L")),""))</f>
        <v/>
      </c>
      <c r="AB24" s="14" t="str">
        <f>IF(TAREAS!$I$23="Propuesta",IF(AND(AB$7&gt;=TAREAS!$G$23,AB$7&lt;=TAREAS!$H$23,CALENDARIO!$C$32=1),"P",""),IF(ISNUMBER(SEARCH(TEXT(AB$7,"yyyy-mm-dd"),TAREAS!$J$23)),IF(TAREAS!$I$23="Registro Git","R",IF(TAREAS!$I$23="Despliegue documentado","D","L")),""))</f>
        <v/>
      </c>
      <c r="AC24" s="14" t="str">
        <f>IF(TAREAS!$I$23="Propuesta",IF(AND(AC$7&gt;=TAREAS!$G$23,AC$7&lt;=TAREAS!$H$23,CALENDARIO!$C$33=1),"P",""),IF(ISNUMBER(SEARCH(TEXT(AC$7,"yyyy-mm-dd"),TAREAS!$J$23)),IF(TAREAS!$I$23="Registro Git","R",IF(TAREAS!$I$23="Despliegue documentado","D","L")),""))</f>
        <v/>
      </c>
      <c r="AD24" s="15" t="str">
        <f>IF(TAREAS!$I$23="Propuesta",IF(AND(AD$7&gt;=TAREAS!$G$23,AD$7&lt;=TAREAS!$H$23,CALENDARIO!$C$34=1),"P",""),IF(ISNUMBER(SEARCH(TEXT(AD$7,"yyyy-mm-dd"),TAREAS!$J$23)),IF(TAREAS!$I$23="Registro Git","R",IF(TAREAS!$I$23="Despliegue documentado","D","L")),""))</f>
        <v/>
      </c>
      <c r="AE24" s="15" t="str">
        <f>IF(TAREAS!$I$23="Propuesta",IF(AND(AE$7&gt;=TAREAS!$G$23,AE$7&lt;=TAREAS!$H$23,CALENDARIO!$C$35=1),"P",""),IF(ISNUMBER(SEARCH(TEXT(AE$7,"yyyy-mm-dd"),TAREAS!$J$23)),IF(TAREAS!$I$23="Registro Git","R",IF(TAREAS!$I$23="Despliegue documentado","D","L")),""))</f>
        <v/>
      </c>
      <c r="AF24" s="14" t="str">
        <f>IF(TAREAS!$I$23="Propuesta",IF(AND(AF$7&gt;=TAREAS!$G$23,AF$7&lt;=TAREAS!$H$23,CALENDARIO!$C$36=1),"P",""),IF(ISNUMBER(SEARCH(TEXT(AF$7,"yyyy-mm-dd"),TAREAS!$J$23)),IF(TAREAS!$I$23="Registro Git","R",IF(TAREAS!$I$23="Despliegue documentado","D","L")),""))</f>
        <v/>
      </c>
      <c r="AG24" s="14" t="str">
        <f>IF(TAREAS!$I$23="Propuesta",IF(AND(AG$7&gt;=TAREAS!$G$23,AG$7&lt;=TAREAS!$H$23,CALENDARIO!$C$37=1),"P",""),IF(ISNUMBER(SEARCH(TEXT(AG$7,"yyyy-mm-dd"),TAREAS!$J$23)),IF(TAREAS!$I$23="Registro Git","R",IF(TAREAS!$I$23="Despliegue documentado","D","L")),""))</f>
        <v/>
      </c>
      <c r="AH24" s="14" t="str">
        <f>IF(TAREAS!$I$23="Propuesta",IF(AND(AH$7&gt;=TAREAS!$G$23,AH$7&lt;=TAREAS!$H$23,CALENDARIO!$C$38=1),"P",""),IF(ISNUMBER(SEARCH(TEXT(AH$7,"yyyy-mm-dd"),TAREAS!$J$23)),IF(TAREAS!$I$23="Registro Git","R",IF(TAREAS!$I$23="Despliegue documentado","D","L")),""))</f>
        <v/>
      </c>
    </row>
    <row r="25" spans="1:34" ht="72" customHeight="1" x14ac:dyDescent="0.25">
      <c r="A25" s="18" t="str">
        <f>TAREAS!C24</f>
        <v>HU-G04 · Como colaborador, quiero entregar evidencias y conocer el cierre de mi jornada.</v>
      </c>
      <c r="B25" s="12" t="str">
        <f>TAREAS!A24&amp;" · "&amp;TAREAS!D24</f>
        <v>T-020 · Preparación de comprobantes para WhatsApp</v>
      </c>
      <c r="C25" s="12" t="str">
        <f>TAREAS!F24</f>
        <v>yeiserDev</v>
      </c>
      <c r="D25" s="13">
        <f t="shared" si="0"/>
        <v>1</v>
      </c>
      <c r="E25" s="14" t="str">
        <f>IF(TAREAS!$I$24="Propuesta",IF(AND(E$7&gt;=TAREAS!$G$24,E$7&lt;=TAREAS!$H$24,CALENDARIO!$C$9=1),"P",""),IF(ISNUMBER(SEARCH(TEXT(E$7,"yyyy-mm-dd"),TAREAS!$J$24)),IF(TAREAS!$I$24="Registro Git","R",IF(TAREAS!$I$24="Despliegue documentado","D","L")),""))</f>
        <v/>
      </c>
      <c r="F25" s="14" t="str">
        <f>IF(TAREAS!$I$24="Propuesta",IF(AND(F$7&gt;=TAREAS!$G$24,F$7&lt;=TAREAS!$H$24,CALENDARIO!$C$10=1),"P",""),IF(ISNUMBER(SEARCH(TEXT(F$7,"yyyy-mm-dd"),TAREAS!$J$24)),IF(TAREAS!$I$24="Registro Git","R",IF(TAREAS!$I$24="Despliegue documentado","D","L")),""))</f>
        <v/>
      </c>
      <c r="G25" s="14" t="str">
        <f>IF(TAREAS!$I$24="Propuesta",IF(AND(G$7&gt;=TAREAS!$G$24,G$7&lt;=TAREAS!$H$24,CALENDARIO!$C$11=1),"P",""),IF(ISNUMBER(SEARCH(TEXT(G$7,"yyyy-mm-dd"),TAREAS!$J$24)),IF(TAREAS!$I$24="Registro Git","R",IF(TAREAS!$I$24="Despliegue documentado","D","L")),""))</f>
        <v/>
      </c>
      <c r="H25" s="14" t="str">
        <f>IF(TAREAS!$I$24="Propuesta",IF(AND(H$7&gt;=TAREAS!$G$24,H$7&lt;=TAREAS!$H$24,CALENDARIO!$C$12=1),"P",""),IF(ISNUMBER(SEARCH(TEXT(H$7,"yyyy-mm-dd"),TAREAS!$J$24)),IF(TAREAS!$I$24="Registro Git","R",IF(TAREAS!$I$24="Despliegue documentado","D","L")),""))</f>
        <v/>
      </c>
      <c r="I25" s="15" t="str">
        <f>IF(TAREAS!$I$24="Propuesta",IF(AND(I$7&gt;=TAREAS!$G$24,I$7&lt;=TAREAS!$H$24,CALENDARIO!$C$13=1),"P",""),IF(ISNUMBER(SEARCH(TEXT(I$7,"yyyy-mm-dd"),TAREAS!$J$24)),IF(TAREAS!$I$24="Registro Git","R",IF(TAREAS!$I$24="Despliegue documentado","D","L")),""))</f>
        <v/>
      </c>
      <c r="J25" s="15" t="str">
        <f>IF(TAREAS!$I$24="Propuesta",IF(AND(J$7&gt;=TAREAS!$G$24,J$7&lt;=TAREAS!$H$24,CALENDARIO!$C$14=1),"P",""),IF(ISNUMBER(SEARCH(TEXT(J$7,"yyyy-mm-dd"),TAREAS!$J$24)),IF(TAREAS!$I$24="Registro Git","R",IF(TAREAS!$I$24="Despliegue documentado","D","L")),""))</f>
        <v/>
      </c>
      <c r="K25" s="14" t="str">
        <f>IF(TAREAS!$I$24="Propuesta",IF(AND(K$7&gt;=TAREAS!$G$24,K$7&lt;=TAREAS!$H$24,CALENDARIO!$C$15=1),"P",""),IF(ISNUMBER(SEARCH(TEXT(K$7,"yyyy-mm-dd"),TAREAS!$J$24)),IF(TAREAS!$I$24="Registro Git","R",IF(TAREAS!$I$24="Despliegue documentado","D","L")),""))</f>
        <v/>
      </c>
      <c r="L25" s="14" t="str">
        <f>IF(TAREAS!$I$24="Propuesta",IF(AND(L$7&gt;=TAREAS!$G$24,L$7&lt;=TAREAS!$H$24,CALENDARIO!$C$16=1),"P",""),IF(ISNUMBER(SEARCH(TEXT(L$7,"yyyy-mm-dd"),TAREAS!$J$24)),IF(TAREAS!$I$24="Registro Git","R",IF(TAREAS!$I$24="Despliegue documentado","D","L")),""))</f>
        <v/>
      </c>
      <c r="M25" s="14" t="str">
        <f>IF(TAREAS!$I$24="Propuesta",IF(AND(M$7&gt;=TAREAS!$G$24,M$7&lt;=TAREAS!$H$24,CALENDARIO!$C$17=1),"P",""),IF(ISNUMBER(SEARCH(TEXT(M$7,"yyyy-mm-dd"),TAREAS!$J$24)),IF(TAREAS!$I$24="Registro Git","R",IF(TAREAS!$I$24="Despliegue documentado","D","L")),""))</f>
        <v/>
      </c>
      <c r="N25" s="14" t="str">
        <f>IF(TAREAS!$I$24="Propuesta",IF(AND(N$7&gt;=TAREAS!$G$24,N$7&lt;=TAREAS!$H$24,CALENDARIO!$C$18=1),"P",""),IF(ISNUMBER(SEARCH(TEXT(N$7,"yyyy-mm-dd"),TAREAS!$J$24)),IF(TAREAS!$I$24="Registro Git","R",IF(TAREAS!$I$24="Despliegue documentado","D","L")),""))</f>
        <v/>
      </c>
      <c r="O25" s="14" t="str">
        <f>IF(TAREAS!$I$24="Propuesta",IF(AND(O$7&gt;=TAREAS!$G$24,O$7&lt;=TAREAS!$H$24,CALENDARIO!$C$19=1),"P",""),IF(ISNUMBER(SEARCH(TEXT(O$7,"yyyy-mm-dd"),TAREAS!$J$24)),IF(TAREAS!$I$24="Registro Git","R",IF(TAREAS!$I$24="Despliegue documentado","D","L")),""))</f>
        <v/>
      </c>
      <c r="P25" s="15" t="str">
        <f>IF(TAREAS!$I$24="Propuesta",IF(AND(P$7&gt;=TAREAS!$G$24,P$7&lt;=TAREAS!$H$24,CALENDARIO!$C$20=1),"P",""),IF(ISNUMBER(SEARCH(TEXT(P$7,"yyyy-mm-dd"),TAREAS!$J$24)),IF(TAREAS!$I$24="Registro Git","R",IF(TAREAS!$I$24="Despliegue documentado","D","L")),""))</f>
        <v/>
      </c>
      <c r="Q25" s="15" t="str">
        <f>IF(TAREAS!$I$24="Propuesta",IF(AND(Q$7&gt;=TAREAS!$G$24,Q$7&lt;=TAREAS!$H$24,CALENDARIO!$C$21=1),"P",""),IF(ISNUMBER(SEARCH(TEXT(Q$7,"yyyy-mm-dd"),TAREAS!$J$24)),IF(TAREAS!$I$24="Registro Git","R",IF(TAREAS!$I$24="Despliegue documentado","D","L")),""))</f>
        <v/>
      </c>
      <c r="R25" s="14" t="str">
        <f>IF(TAREAS!$I$24="Propuesta",IF(AND(R$7&gt;=TAREAS!$G$24,R$7&lt;=TAREAS!$H$24,CALENDARIO!$C$22=1),"P",""),IF(ISNUMBER(SEARCH(TEXT(R$7,"yyyy-mm-dd"),TAREAS!$J$24)),IF(TAREAS!$I$24="Registro Git","R",IF(TAREAS!$I$24="Despliegue documentado","D","L")),""))</f>
        <v/>
      </c>
      <c r="S25" s="14" t="str">
        <f>IF(TAREAS!$I$24="Propuesta",IF(AND(S$7&gt;=TAREAS!$G$24,S$7&lt;=TAREAS!$H$24,CALENDARIO!$C$23=1),"P",""),IF(ISNUMBER(SEARCH(TEXT(S$7,"yyyy-mm-dd"),TAREAS!$J$24)),IF(TAREAS!$I$24="Registro Git","R",IF(TAREAS!$I$24="Despliegue documentado","D","L")),""))</f>
        <v/>
      </c>
      <c r="T25" s="14" t="str">
        <f>IF(TAREAS!$I$24="Propuesta",IF(AND(T$7&gt;=TAREAS!$G$24,T$7&lt;=TAREAS!$H$24,CALENDARIO!$C$24=1),"P",""),IF(ISNUMBER(SEARCH(TEXT(T$7,"yyyy-mm-dd"),TAREAS!$J$24)),IF(TAREAS!$I$24="Registro Git","R",IF(TAREAS!$I$24="Despliegue documentado","D","L")),""))</f>
        <v>R</v>
      </c>
      <c r="U25" s="14" t="str">
        <f>IF(TAREAS!$I$24="Propuesta",IF(AND(U$7&gt;=TAREAS!$G$24,U$7&lt;=TAREAS!$H$24,CALENDARIO!$C$25=1),"P",""),IF(ISNUMBER(SEARCH(TEXT(U$7,"yyyy-mm-dd"),TAREAS!$J$24)),IF(TAREAS!$I$24="Registro Git","R",IF(TAREAS!$I$24="Despliegue documentado","D","L")),""))</f>
        <v/>
      </c>
      <c r="V25" s="14" t="str">
        <f>IF(TAREAS!$I$24="Propuesta",IF(AND(V$7&gt;=TAREAS!$G$24,V$7&lt;=TAREAS!$H$24,CALENDARIO!$C$26=1),"P",""),IF(ISNUMBER(SEARCH(TEXT(V$7,"yyyy-mm-dd"),TAREAS!$J$24)),IF(TAREAS!$I$24="Registro Git","R",IF(TAREAS!$I$24="Despliegue documentado","D","L")),""))</f>
        <v/>
      </c>
      <c r="W25" s="15" t="str">
        <f>IF(TAREAS!$I$24="Propuesta",IF(AND(W$7&gt;=TAREAS!$G$24,W$7&lt;=TAREAS!$H$24,CALENDARIO!$C$27=1),"P",""),IF(ISNUMBER(SEARCH(TEXT(W$7,"yyyy-mm-dd"),TAREAS!$J$24)),IF(TAREAS!$I$24="Registro Git","R",IF(TAREAS!$I$24="Despliegue documentado","D","L")),""))</f>
        <v/>
      </c>
      <c r="X25" s="15" t="str">
        <f>IF(TAREAS!$I$24="Propuesta",IF(AND(X$7&gt;=TAREAS!$G$24,X$7&lt;=TAREAS!$H$24,CALENDARIO!$C$28=1),"P",""),IF(ISNUMBER(SEARCH(TEXT(X$7,"yyyy-mm-dd"),TAREAS!$J$24)),IF(TAREAS!$I$24="Registro Git","R",IF(TAREAS!$I$24="Despliegue documentado","D","L")),""))</f>
        <v/>
      </c>
      <c r="Y25" s="14" t="str">
        <f>IF(TAREAS!$I$24="Propuesta",IF(AND(Y$7&gt;=TAREAS!$G$24,Y$7&lt;=TAREAS!$H$24,CALENDARIO!$C$29=1),"P",""),IF(ISNUMBER(SEARCH(TEXT(Y$7,"yyyy-mm-dd"),TAREAS!$J$24)),IF(TAREAS!$I$24="Registro Git","R",IF(TAREAS!$I$24="Despliegue documentado","D","L")),""))</f>
        <v/>
      </c>
      <c r="Z25" s="14" t="str">
        <f>IF(TAREAS!$I$24="Propuesta",IF(AND(Z$7&gt;=TAREAS!$G$24,Z$7&lt;=TAREAS!$H$24,CALENDARIO!$C$30=1),"P",""),IF(ISNUMBER(SEARCH(TEXT(Z$7,"yyyy-mm-dd"),TAREAS!$J$24)),IF(TAREAS!$I$24="Registro Git","R",IF(TAREAS!$I$24="Despliegue documentado","D","L")),""))</f>
        <v/>
      </c>
      <c r="AA25" s="14" t="str">
        <f>IF(TAREAS!$I$24="Propuesta",IF(AND(AA$7&gt;=TAREAS!$G$24,AA$7&lt;=TAREAS!$H$24,CALENDARIO!$C$31=1),"P",""),IF(ISNUMBER(SEARCH(TEXT(AA$7,"yyyy-mm-dd"),TAREAS!$J$24)),IF(TAREAS!$I$24="Registro Git","R",IF(TAREAS!$I$24="Despliegue documentado","D","L")),""))</f>
        <v/>
      </c>
      <c r="AB25" s="14" t="str">
        <f>IF(TAREAS!$I$24="Propuesta",IF(AND(AB$7&gt;=TAREAS!$G$24,AB$7&lt;=TAREAS!$H$24,CALENDARIO!$C$32=1),"P",""),IF(ISNUMBER(SEARCH(TEXT(AB$7,"yyyy-mm-dd"),TAREAS!$J$24)),IF(TAREAS!$I$24="Registro Git","R",IF(TAREAS!$I$24="Despliegue documentado","D","L")),""))</f>
        <v/>
      </c>
      <c r="AC25" s="14" t="str">
        <f>IF(TAREAS!$I$24="Propuesta",IF(AND(AC$7&gt;=TAREAS!$G$24,AC$7&lt;=TAREAS!$H$24,CALENDARIO!$C$33=1),"P",""),IF(ISNUMBER(SEARCH(TEXT(AC$7,"yyyy-mm-dd"),TAREAS!$J$24)),IF(TAREAS!$I$24="Registro Git","R",IF(TAREAS!$I$24="Despliegue documentado","D","L")),""))</f>
        <v/>
      </c>
      <c r="AD25" s="15" t="str">
        <f>IF(TAREAS!$I$24="Propuesta",IF(AND(AD$7&gt;=TAREAS!$G$24,AD$7&lt;=TAREAS!$H$24,CALENDARIO!$C$34=1),"P",""),IF(ISNUMBER(SEARCH(TEXT(AD$7,"yyyy-mm-dd"),TAREAS!$J$24)),IF(TAREAS!$I$24="Registro Git","R",IF(TAREAS!$I$24="Despliegue documentado","D","L")),""))</f>
        <v/>
      </c>
      <c r="AE25" s="15" t="str">
        <f>IF(TAREAS!$I$24="Propuesta",IF(AND(AE$7&gt;=TAREAS!$G$24,AE$7&lt;=TAREAS!$H$24,CALENDARIO!$C$35=1),"P",""),IF(ISNUMBER(SEARCH(TEXT(AE$7,"yyyy-mm-dd"),TAREAS!$J$24)),IF(TAREAS!$I$24="Registro Git","R",IF(TAREAS!$I$24="Despliegue documentado","D","L")),""))</f>
        <v/>
      </c>
      <c r="AF25" s="14" t="str">
        <f>IF(TAREAS!$I$24="Propuesta",IF(AND(AF$7&gt;=TAREAS!$G$24,AF$7&lt;=TAREAS!$H$24,CALENDARIO!$C$36=1),"P",""),IF(ISNUMBER(SEARCH(TEXT(AF$7,"yyyy-mm-dd"),TAREAS!$J$24)),IF(TAREAS!$I$24="Registro Git","R",IF(TAREAS!$I$24="Despliegue documentado","D","L")),""))</f>
        <v/>
      </c>
      <c r="AG25" s="14" t="str">
        <f>IF(TAREAS!$I$24="Propuesta",IF(AND(AG$7&gt;=TAREAS!$G$24,AG$7&lt;=TAREAS!$H$24,CALENDARIO!$C$37=1),"P",""),IF(ISNUMBER(SEARCH(TEXT(AG$7,"yyyy-mm-dd"),TAREAS!$J$24)),IF(TAREAS!$I$24="Registro Git","R",IF(TAREAS!$I$24="Despliegue documentado","D","L")),""))</f>
        <v/>
      </c>
      <c r="AH25" s="14" t="str">
        <f>IF(TAREAS!$I$24="Propuesta",IF(AND(AH$7&gt;=TAREAS!$G$24,AH$7&lt;=TAREAS!$H$24,CALENDARIO!$C$38=1),"P",""),IF(ISNUMBER(SEARCH(TEXT(AH$7,"yyyy-mm-dd"),TAREAS!$J$24)),IF(TAREAS!$I$24="Registro Git","R",IF(TAREAS!$I$24="Despliegue documentado","D","L")),""))</f>
        <v/>
      </c>
    </row>
    <row r="26" spans="1:34" ht="72" customHeight="1" x14ac:dyDescent="0.25">
      <c r="A26" s="16" t="str">
        <f>TAREAS!C25</f>
        <v>HU-G09 · Como equipo, queremos requisitos y planificación trazables.</v>
      </c>
      <c r="B26" s="12" t="str">
        <f>TAREAS!A25&amp;" · "&amp;TAREAS!D25</f>
        <v>T-021 · Primera documentación de secuencias administrativas</v>
      </c>
      <c r="C26" s="12" t="str">
        <f>TAREAS!F25</f>
        <v>yeiserDev</v>
      </c>
      <c r="D26" s="13">
        <f t="shared" si="0"/>
        <v>1</v>
      </c>
      <c r="E26" s="14" t="str">
        <f>IF(TAREAS!$I$25="Propuesta",IF(AND(E$7&gt;=TAREAS!$G$25,E$7&lt;=TAREAS!$H$25,CALENDARIO!$C$9=1),"P",""),IF(ISNUMBER(SEARCH(TEXT(E$7,"yyyy-mm-dd"),TAREAS!$J$25)),IF(TAREAS!$I$25="Registro Git","R",IF(TAREAS!$I$25="Despliegue documentado","D","L")),""))</f>
        <v/>
      </c>
      <c r="F26" s="14" t="str">
        <f>IF(TAREAS!$I$25="Propuesta",IF(AND(F$7&gt;=TAREAS!$G$25,F$7&lt;=TAREAS!$H$25,CALENDARIO!$C$10=1),"P",""),IF(ISNUMBER(SEARCH(TEXT(F$7,"yyyy-mm-dd"),TAREAS!$J$25)),IF(TAREAS!$I$25="Registro Git","R",IF(TAREAS!$I$25="Despliegue documentado","D","L")),""))</f>
        <v/>
      </c>
      <c r="G26" s="14" t="str">
        <f>IF(TAREAS!$I$25="Propuesta",IF(AND(G$7&gt;=TAREAS!$G$25,G$7&lt;=TAREAS!$H$25,CALENDARIO!$C$11=1),"P",""),IF(ISNUMBER(SEARCH(TEXT(G$7,"yyyy-mm-dd"),TAREAS!$J$25)),IF(TAREAS!$I$25="Registro Git","R",IF(TAREAS!$I$25="Despliegue documentado","D","L")),""))</f>
        <v/>
      </c>
      <c r="H26" s="14" t="str">
        <f>IF(TAREAS!$I$25="Propuesta",IF(AND(H$7&gt;=TAREAS!$G$25,H$7&lt;=TAREAS!$H$25,CALENDARIO!$C$12=1),"P",""),IF(ISNUMBER(SEARCH(TEXT(H$7,"yyyy-mm-dd"),TAREAS!$J$25)),IF(TAREAS!$I$25="Registro Git","R",IF(TAREAS!$I$25="Despliegue documentado","D","L")),""))</f>
        <v/>
      </c>
      <c r="I26" s="15" t="str">
        <f>IF(TAREAS!$I$25="Propuesta",IF(AND(I$7&gt;=TAREAS!$G$25,I$7&lt;=TAREAS!$H$25,CALENDARIO!$C$13=1),"P",""),IF(ISNUMBER(SEARCH(TEXT(I$7,"yyyy-mm-dd"),TAREAS!$J$25)),IF(TAREAS!$I$25="Registro Git","R",IF(TAREAS!$I$25="Despliegue documentado","D","L")),""))</f>
        <v/>
      </c>
      <c r="J26" s="15" t="str">
        <f>IF(TAREAS!$I$25="Propuesta",IF(AND(J$7&gt;=TAREAS!$G$25,J$7&lt;=TAREAS!$H$25,CALENDARIO!$C$14=1),"P",""),IF(ISNUMBER(SEARCH(TEXT(J$7,"yyyy-mm-dd"),TAREAS!$J$25)),IF(TAREAS!$I$25="Registro Git","R",IF(TAREAS!$I$25="Despliegue documentado","D","L")),""))</f>
        <v/>
      </c>
      <c r="K26" s="14" t="str">
        <f>IF(TAREAS!$I$25="Propuesta",IF(AND(K$7&gt;=TAREAS!$G$25,K$7&lt;=TAREAS!$H$25,CALENDARIO!$C$15=1),"P",""),IF(ISNUMBER(SEARCH(TEXT(K$7,"yyyy-mm-dd"),TAREAS!$J$25)),IF(TAREAS!$I$25="Registro Git","R",IF(TAREAS!$I$25="Despliegue documentado","D","L")),""))</f>
        <v/>
      </c>
      <c r="L26" s="14" t="str">
        <f>IF(TAREAS!$I$25="Propuesta",IF(AND(L$7&gt;=TAREAS!$G$25,L$7&lt;=TAREAS!$H$25,CALENDARIO!$C$16=1),"P",""),IF(ISNUMBER(SEARCH(TEXT(L$7,"yyyy-mm-dd"),TAREAS!$J$25)),IF(TAREAS!$I$25="Registro Git","R",IF(TAREAS!$I$25="Despliegue documentado","D","L")),""))</f>
        <v/>
      </c>
      <c r="M26" s="14" t="str">
        <f>IF(TAREAS!$I$25="Propuesta",IF(AND(M$7&gt;=TAREAS!$G$25,M$7&lt;=TAREAS!$H$25,CALENDARIO!$C$17=1),"P",""),IF(ISNUMBER(SEARCH(TEXT(M$7,"yyyy-mm-dd"),TAREAS!$J$25)),IF(TAREAS!$I$25="Registro Git","R",IF(TAREAS!$I$25="Despliegue documentado","D","L")),""))</f>
        <v/>
      </c>
      <c r="N26" s="14" t="str">
        <f>IF(TAREAS!$I$25="Propuesta",IF(AND(N$7&gt;=TAREAS!$G$25,N$7&lt;=TAREAS!$H$25,CALENDARIO!$C$18=1),"P",""),IF(ISNUMBER(SEARCH(TEXT(N$7,"yyyy-mm-dd"),TAREAS!$J$25)),IF(TAREAS!$I$25="Registro Git","R",IF(TAREAS!$I$25="Despliegue documentado","D","L")),""))</f>
        <v/>
      </c>
      <c r="O26" s="14" t="str">
        <f>IF(TAREAS!$I$25="Propuesta",IF(AND(O$7&gt;=TAREAS!$G$25,O$7&lt;=TAREAS!$H$25,CALENDARIO!$C$19=1),"P",""),IF(ISNUMBER(SEARCH(TEXT(O$7,"yyyy-mm-dd"),TAREAS!$J$25)),IF(TAREAS!$I$25="Registro Git","R",IF(TAREAS!$I$25="Despliegue documentado","D","L")),""))</f>
        <v/>
      </c>
      <c r="P26" s="15" t="str">
        <f>IF(TAREAS!$I$25="Propuesta",IF(AND(P$7&gt;=TAREAS!$G$25,P$7&lt;=TAREAS!$H$25,CALENDARIO!$C$20=1),"P",""),IF(ISNUMBER(SEARCH(TEXT(P$7,"yyyy-mm-dd"),TAREAS!$J$25)),IF(TAREAS!$I$25="Registro Git","R",IF(TAREAS!$I$25="Despliegue documentado","D","L")),""))</f>
        <v/>
      </c>
      <c r="Q26" s="15" t="str">
        <f>IF(TAREAS!$I$25="Propuesta",IF(AND(Q$7&gt;=TAREAS!$G$25,Q$7&lt;=TAREAS!$H$25,CALENDARIO!$C$21=1),"P",""),IF(ISNUMBER(SEARCH(TEXT(Q$7,"yyyy-mm-dd"),TAREAS!$J$25)),IF(TAREAS!$I$25="Registro Git","R",IF(TAREAS!$I$25="Despliegue documentado","D","L")),""))</f>
        <v/>
      </c>
      <c r="R26" s="14" t="str">
        <f>IF(TAREAS!$I$25="Propuesta",IF(AND(R$7&gt;=TAREAS!$G$25,R$7&lt;=TAREAS!$H$25,CALENDARIO!$C$22=1),"P",""),IF(ISNUMBER(SEARCH(TEXT(R$7,"yyyy-mm-dd"),TAREAS!$J$25)),IF(TAREAS!$I$25="Registro Git","R",IF(TAREAS!$I$25="Despliegue documentado","D","L")),""))</f>
        <v/>
      </c>
      <c r="S26" s="14" t="str">
        <f>IF(TAREAS!$I$25="Propuesta",IF(AND(S$7&gt;=TAREAS!$G$25,S$7&lt;=TAREAS!$H$25,CALENDARIO!$C$23=1),"P",""),IF(ISNUMBER(SEARCH(TEXT(S$7,"yyyy-mm-dd"),TAREAS!$J$25)),IF(TAREAS!$I$25="Registro Git","R",IF(TAREAS!$I$25="Despliegue documentado","D","L")),""))</f>
        <v/>
      </c>
      <c r="T26" s="14" t="str">
        <f>IF(TAREAS!$I$25="Propuesta",IF(AND(T$7&gt;=TAREAS!$G$25,T$7&lt;=TAREAS!$H$25,CALENDARIO!$C$24=1),"P",""),IF(ISNUMBER(SEARCH(TEXT(T$7,"yyyy-mm-dd"),TAREAS!$J$25)),IF(TAREAS!$I$25="Registro Git","R",IF(TAREAS!$I$25="Despliegue documentado","D","L")),""))</f>
        <v>R</v>
      </c>
      <c r="U26" s="14" t="str">
        <f>IF(TAREAS!$I$25="Propuesta",IF(AND(U$7&gt;=TAREAS!$G$25,U$7&lt;=TAREAS!$H$25,CALENDARIO!$C$25=1),"P",""),IF(ISNUMBER(SEARCH(TEXT(U$7,"yyyy-mm-dd"),TAREAS!$J$25)),IF(TAREAS!$I$25="Registro Git","R",IF(TAREAS!$I$25="Despliegue documentado","D","L")),""))</f>
        <v/>
      </c>
      <c r="V26" s="14" t="str">
        <f>IF(TAREAS!$I$25="Propuesta",IF(AND(V$7&gt;=TAREAS!$G$25,V$7&lt;=TAREAS!$H$25,CALENDARIO!$C$26=1),"P",""),IF(ISNUMBER(SEARCH(TEXT(V$7,"yyyy-mm-dd"),TAREAS!$J$25)),IF(TAREAS!$I$25="Registro Git","R",IF(TAREAS!$I$25="Despliegue documentado","D","L")),""))</f>
        <v/>
      </c>
      <c r="W26" s="15" t="str">
        <f>IF(TAREAS!$I$25="Propuesta",IF(AND(W$7&gt;=TAREAS!$G$25,W$7&lt;=TAREAS!$H$25,CALENDARIO!$C$27=1),"P",""),IF(ISNUMBER(SEARCH(TEXT(W$7,"yyyy-mm-dd"),TAREAS!$J$25)),IF(TAREAS!$I$25="Registro Git","R",IF(TAREAS!$I$25="Despliegue documentado","D","L")),""))</f>
        <v/>
      </c>
      <c r="X26" s="15" t="str">
        <f>IF(TAREAS!$I$25="Propuesta",IF(AND(X$7&gt;=TAREAS!$G$25,X$7&lt;=TAREAS!$H$25,CALENDARIO!$C$28=1),"P",""),IF(ISNUMBER(SEARCH(TEXT(X$7,"yyyy-mm-dd"),TAREAS!$J$25)),IF(TAREAS!$I$25="Registro Git","R",IF(TAREAS!$I$25="Despliegue documentado","D","L")),""))</f>
        <v/>
      </c>
      <c r="Y26" s="14" t="str">
        <f>IF(TAREAS!$I$25="Propuesta",IF(AND(Y$7&gt;=TAREAS!$G$25,Y$7&lt;=TAREAS!$H$25,CALENDARIO!$C$29=1),"P",""),IF(ISNUMBER(SEARCH(TEXT(Y$7,"yyyy-mm-dd"),TAREAS!$J$25)),IF(TAREAS!$I$25="Registro Git","R",IF(TAREAS!$I$25="Despliegue documentado","D","L")),""))</f>
        <v/>
      </c>
      <c r="Z26" s="14" t="str">
        <f>IF(TAREAS!$I$25="Propuesta",IF(AND(Z$7&gt;=TAREAS!$G$25,Z$7&lt;=TAREAS!$H$25,CALENDARIO!$C$30=1),"P",""),IF(ISNUMBER(SEARCH(TEXT(Z$7,"yyyy-mm-dd"),TAREAS!$J$25)),IF(TAREAS!$I$25="Registro Git","R",IF(TAREAS!$I$25="Despliegue documentado","D","L")),""))</f>
        <v/>
      </c>
      <c r="AA26" s="14" t="str">
        <f>IF(TAREAS!$I$25="Propuesta",IF(AND(AA$7&gt;=TAREAS!$G$25,AA$7&lt;=TAREAS!$H$25,CALENDARIO!$C$31=1),"P",""),IF(ISNUMBER(SEARCH(TEXT(AA$7,"yyyy-mm-dd"),TAREAS!$J$25)),IF(TAREAS!$I$25="Registro Git","R",IF(TAREAS!$I$25="Despliegue documentado","D","L")),""))</f>
        <v/>
      </c>
      <c r="AB26" s="14" t="str">
        <f>IF(TAREAS!$I$25="Propuesta",IF(AND(AB$7&gt;=TAREAS!$G$25,AB$7&lt;=TAREAS!$H$25,CALENDARIO!$C$32=1),"P",""),IF(ISNUMBER(SEARCH(TEXT(AB$7,"yyyy-mm-dd"),TAREAS!$J$25)),IF(TAREAS!$I$25="Registro Git","R",IF(TAREAS!$I$25="Despliegue documentado","D","L")),""))</f>
        <v/>
      </c>
      <c r="AC26" s="14" t="str">
        <f>IF(TAREAS!$I$25="Propuesta",IF(AND(AC$7&gt;=TAREAS!$G$25,AC$7&lt;=TAREAS!$H$25,CALENDARIO!$C$33=1),"P",""),IF(ISNUMBER(SEARCH(TEXT(AC$7,"yyyy-mm-dd"),TAREAS!$J$25)),IF(TAREAS!$I$25="Registro Git","R",IF(TAREAS!$I$25="Despliegue documentado","D","L")),""))</f>
        <v/>
      </c>
      <c r="AD26" s="15" t="str">
        <f>IF(TAREAS!$I$25="Propuesta",IF(AND(AD$7&gt;=TAREAS!$G$25,AD$7&lt;=TAREAS!$H$25,CALENDARIO!$C$34=1),"P",""),IF(ISNUMBER(SEARCH(TEXT(AD$7,"yyyy-mm-dd"),TAREAS!$J$25)),IF(TAREAS!$I$25="Registro Git","R",IF(TAREAS!$I$25="Despliegue documentado","D","L")),""))</f>
        <v/>
      </c>
      <c r="AE26" s="15" t="str">
        <f>IF(TAREAS!$I$25="Propuesta",IF(AND(AE$7&gt;=TAREAS!$G$25,AE$7&lt;=TAREAS!$H$25,CALENDARIO!$C$35=1),"P",""),IF(ISNUMBER(SEARCH(TEXT(AE$7,"yyyy-mm-dd"),TAREAS!$J$25)),IF(TAREAS!$I$25="Registro Git","R",IF(TAREAS!$I$25="Despliegue documentado","D","L")),""))</f>
        <v/>
      </c>
      <c r="AF26" s="14" t="str">
        <f>IF(TAREAS!$I$25="Propuesta",IF(AND(AF$7&gt;=TAREAS!$G$25,AF$7&lt;=TAREAS!$H$25,CALENDARIO!$C$36=1),"P",""),IF(ISNUMBER(SEARCH(TEXT(AF$7,"yyyy-mm-dd"),TAREAS!$J$25)),IF(TAREAS!$I$25="Registro Git","R",IF(TAREAS!$I$25="Despliegue documentado","D","L")),""))</f>
        <v/>
      </c>
      <c r="AG26" s="14" t="str">
        <f>IF(TAREAS!$I$25="Propuesta",IF(AND(AG$7&gt;=TAREAS!$G$25,AG$7&lt;=TAREAS!$H$25,CALENDARIO!$C$37=1),"P",""),IF(ISNUMBER(SEARCH(TEXT(AG$7,"yyyy-mm-dd"),TAREAS!$J$25)),IF(TAREAS!$I$25="Registro Git","R",IF(TAREAS!$I$25="Despliegue documentado","D","L")),""))</f>
        <v/>
      </c>
      <c r="AH26" s="14" t="str">
        <f>IF(TAREAS!$I$25="Propuesta",IF(AND(AH$7&gt;=TAREAS!$G$25,AH$7&lt;=TAREAS!$H$25,CALENDARIO!$C$38=1),"P",""),IF(ISNUMBER(SEARCH(TEXT(AH$7,"yyyy-mm-dd"),TAREAS!$J$25)),IF(TAREAS!$I$25="Registro Git","R",IF(TAREAS!$I$25="Despliegue documentado","D","L")),""))</f>
        <v/>
      </c>
    </row>
    <row r="27" spans="1:34" ht="72" customHeight="1" x14ac:dyDescent="0.25">
      <c r="A27" s="17" t="str">
        <f>TAREAS!C26</f>
        <v>HU-G08 · Como Dirección, quiero consultar reportes y métricas explicables.</v>
      </c>
      <c r="B27" s="12" t="str">
        <f>TAREAS!A26&amp;" · "&amp;TAREAS!D26</f>
        <v>T-022 · Reportes Facebook por áreas con Excel y PDF</v>
      </c>
      <c r="C27" s="12" t="str">
        <f>TAREAS!F26</f>
        <v>yeiserDev</v>
      </c>
      <c r="D27" s="13">
        <f t="shared" si="0"/>
        <v>1</v>
      </c>
      <c r="E27" s="14" t="str">
        <f>IF(TAREAS!$I$26="Propuesta",IF(AND(E$7&gt;=TAREAS!$G$26,E$7&lt;=TAREAS!$H$26,CALENDARIO!$C$9=1),"P",""),IF(ISNUMBER(SEARCH(TEXT(E$7,"yyyy-mm-dd"),TAREAS!$J$26)),IF(TAREAS!$I$26="Registro Git","R",IF(TAREAS!$I$26="Despliegue documentado","D","L")),""))</f>
        <v/>
      </c>
      <c r="F27" s="14" t="str">
        <f>IF(TAREAS!$I$26="Propuesta",IF(AND(F$7&gt;=TAREAS!$G$26,F$7&lt;=TAREAS!$H$26,CALENDARIO!$C$10=1),"P",""),IF(ISNUMBER(SEARCH(TEXT(F$7,"yyyy-mm-dd"),TAREAS!$J$26)),IF(TAREAS!$I$26="Registro Git","R",IF(TAREAS!$I$26="Despliegue documentado","D","L")),""))</f>
        <v/>
      </c>
      <c r="G27" s="14" t="str">
        <f>IF(TAREAS!$I$26="Propuesta",IF(AND(G$7&gt;=TAREAS!$G$26,G$7&lt;=TAREAS!$H$26,CALENDARIO!$C$11=1),"P",""),IF(ISNUMBER(SEARCH(TEXT(G$7,"yyyy-mm-dd"),TAREAS!$J$26)),IF(TAREAS!$I$26="Registro Git","R",IF(TAREAS!$I$26="Despliegue documentado","D","L")),""))</f>
        <v/>
      </c>
      <c r="H27" s="14" t="str">
        <f>IF(TAREAS!$I$26="Propuesta",IF(AND(H$7&gt;=TAREAS!$G$26,H$7&lt;=TAREAS!$H$26,CALENDARIO!$C$12=1),"P",""),IF(ISNUMBER(SEARCH(TEXT(H$7,"yyyy-mm-dd"),TAREAS!$J$26)),IF(TAREAS!$I$26="Registro Git","R",IF(TAREAS!$I$26="Despliegue documentado","D","L")),""))</f>
        <v/>
      </c>
      <c r="I27" s="15" t="str">
        <f>IF(TAREAS!$I$26="Propuesta",IF(AND(I$7&gt;=TAREAS!$G$26,I$7&lt;=TAREAS!$H$26,CALENDARIO!$C$13=1),"P",""),IF(ISNUMBER(SEARCH(TEXT(I$7,"yyyy-mm-dd"),TAREAS!$J$26)),IF(TAREAS!$I$26="Registro Git","R",IF(TAREAS!$I$26="Despliegue documentado","D","L")),""))</f>
        <v/>
      </c>
      <c r="J27" s="15" t="str">
        <f>IF(TAREAS!$I$26="Propuesta",IF(AND(J$7&gt;=TAREAS!$G$26,J$7&lt;=TAREAS!$H$26,CALENDARIO!$C$14=1),"P",""),IF(ISNUMBER(SEARCH(TEXT(J$7,"yyyy-mm-dd"),TAREAS!$J$26)),IF(TAREAS!$I$26="Registro Git","R",IF(TAREAS!$I$26="Despliegue documentado","D","L")),""))</f>
        <v/>
      </c>
      <c r="K27" s="14" t="str">
        <f>IF(TAREAS!$I$26="Propuesta",IF(AND(K$7&gt;=TAREAS!$G$26,K$7&lt;=TAREAS!$H$26,CALENDARIO!$C$15=1),"P",""),IF(ISNUMBER(SEARCH(TEXT(K$7,"yyyy-mm-dd"),TAREAS!$J$26)),IF(TAREAS!$I$26="Registro Git","R",IF(TAREAS!$I$26="Despliegue documentado","D","L")),""))</f>
        <v/>
      </c>
      <c r="L27" s="14" t="str">
        <f>IF(TAREAS!$I$26="Propuesta",IF(AND(L$7&gt;=TAREAS!$G$26,L$7&lt;=TAREAS!$H$26,CALENDARIO!$C$16=1),"P",""),IF(ISNUMBER(SEARCH(TEXT(L$7,"yyyy-mm-dd"),TAREAS!$J$26)),IF(TAREAS!$I$26="Registro Git","R",IF(TAREAS!$I$26="Despliegue documentado","D","L")),""))</f>
        <v/>
      </c>
      <c r="M27" s="14" t="str">
        <f>IF(TAREAS!$I$26="Propuesta",IF(AND(M$7&gt;=TAREAS!$G$26,M$7&lt;=TAREAS!$H$26,CALENDARIO!$C$17=1),"P",""),IF(ISNUMBER(SEARCH(TEXT(M$7,"yyyy-mm-dd"),TAREAS!$J$26)),IF(TAREAS!$I$26="Registro Git","R",IF(TAREAS!$I$26="Despliegue documentado","D","L")),""))</f>
        <v/>
      </c>
      <c r="N27" s="14" t="str">
        <f>IF(TAREAS!$I$26="Propuesta",IF(AND(N$7&gt;=TAREAS!$G$26,N$7&lt;=TAREAS!$H$26,CALENDARIO!$C$18=1),"P",""),IF(ISNUMBER(SEARCH(TEXT(N$7,"yyyy-mm-dd"),TAREAS!$J$26)),IF(TAREAS!$I$26="Registro Git","R",IF(TAREAS!$I$26="Despliegue documentado","D","L")),""))</f>
        <v/>
      </c>
      <c r="O27" s="14" t="str">
        <f>IF(TAREAS!$I$26="Propuesta",IF(AND(O$7&gt;=TAREAS!$G$26,O$7&lt;=TAREAS!$H$26,CALENDARIO!$C$19=1),"P",""),IF(ISNUMBER(SEARCH(TEXT(O$7,"yyyy-mm-dd"),TAREAS!$J$26)),IF(TAREAS!$I$26="Registro Git","R",IF(TAREAS!$I$26="Despliegue documentado","D","L")),""))</f>
        <v/>
      </c>
      <c r="P27" s="15" t="str">
        <f>IF(TAREAS!$I$26="Propuesta",IF(AND(P$7&gt;=TAREAS!$G$26,P$7&lt;=TAREAS!$H$26,CALENDARIO!$C$20=1),"P",""),IF(ISNUMBER(SEARCH(TEXT(P$7,"yyyy-mm-dd"),TAREAS!$J$26)),IF(TAREAS!$I$26="Registro Git","R",IF(TAREAS!$I$26="Despliegue documentado","D","L")),""))</f>
        <v/>
      </c>
      <c r="Q27" s="15" t="str">
        <f>IF(TAREAS!$I$26="Propuesta",IF(AND(Q$7&gt;=TAREAS!$G$26,Q$7&lt;=TAREAS!$H$26,CALENDARIO!$C$21=1),"P",""),IF(ISNUMBER(SEARCH(TEXT(Q$7,"yyyy-mm-dd"),TAREAS!$J$26)),IF(TAREAS!$I$26="Registro Git","R",IF(TAREAS!$I$26="Despliegue documentado","D","L")),""))</f>
        <v/>
      </c>
      <c r="R27" s="14" t="str">
        <f>IF(TAREAS!$I$26="Propuesta",IF(AND(R$7&gt;=TAREAS!$G$26,R$7&lt;=TAREAS!$H$26,CALENDARIO!$C$22=1),"P",""),IF(ISNUMBER(SEARCH(TEXT(R$7,"yyyy-mm-dd"),TAREAS!$J$26)),IF(TAREAS!$I$26="Registro Git","R",IF(TAREAS!$I$26="Despliegue documentado","D","L")),""))</f>
        <v/>
      </c>
      <c r="S27" s="14" t="str">
        <f>IF(TAREAS!$I$26="Propuesta",IF(AND(S$7&gt;=TAREAS!$G$26,S$7&lt;=TAREAS!$H$26,CALENDARIO!$C$23=1),"P",""),IF(ISNUMBER(SEARCH(TEXT(S$7,"yyyy-mm-dd"),TAREAS!$J$26)),IF(TAREAS!$I$26="Registro Git","R",IF(TAREAS!$I$26="Despliegue documentado","D","L")),""))</f>
        <v/>
      </c>
      <c r="T27" s="14" t="str">
        <f>IF(TAREAS!$I$26="Propuesta",IF(AND(T$7&gt;=TAREAS!$G$26,T$7&lt;=TAREAS!$H$26,CALENDARIO!$C$24=1),"P",""),IF(ISNUMBER(SEARCH(TEXT(T$7,"yyyy-mm-dd"),TAREAS!$J$26)),IF(TAREAS!$I$26="Registro Git","R",IF(TAREAS!$I$26="Despliegue documentado","D","L")),""))</f>
        <v/>
      </c>
      <c r="U27" s="14" t="str">
        <f>IF(TAREAS!$I$26="Propuesta",IF(AND(U$7&gt;=TAREAS!$G$26,U$7&lt;=TAREAS!$H$26,CALENDARIO!$C$25=1),"P",""),IF(ISNUMBER(SEARCH(TEXT(U$7,"yyyy-mm-dd"),TAREAS!$J$26)),IF(TAREAS!$I$26="Registro Git","R",IF(TAREAS!$I$26="Despliegue documentado","D","L")),""))</f>
        <v>R</v>
      </c>
      <c r="V27" s="14" t="str">
        <f>IF(TAREAS!$I$26="Propuesta",IF(AND(V$7&gt;=TAREAS!$G$26,V$7&lt;=TAREAS!$H$26,CALENDARIO!$C$26=1),"P",""),IF(ISNUMBER(SEARCH(TEXT(V$7,"yyyy-mm-dd"),TAREAS!$J$26)),IF(TAREAS!$I$26="Registro Git","R",IF(TAREAS!$I$26="Despliegue documentado","D","L")),""))</f>
        <v/>
      </c>
      <c r="W27" s="15" t="str">
        <f>IF(TAREAS!$I$26="Propuesta",IF(AND(W$7&gt;=TAREAS!$G$26,W$7&lt;=TAREAS!$H$26,CALENDARIO!$C$27=1),"P",""),IF(ISNUMBER(SEARCH(TEXT(W$7,"yyyy-mm-dd"),TAREAS!$J$26)),IF(TAREAS!$I$26="Registro Git","R",IF(TAREAS!$I$26="Despliegue documentado","D","L")),""))</f>
        <v/>
      </c>
      <c r="X27" s="15" t="str">
        <f>IF(TAREAS!$I$26="Propuesta",IF(AND(X$7&gt;=TAREAS!$G$26,X$7&lt;=TAREAS!$H$26,CALENDARIO!$C$28=1),"P",""),IF(ISNUMBER(SEARCH(TEXT(X$7,"yyyy-mm-dd"),TAREAS!$J$26)),IF(TAREAS!$I$26="Registro Git","R",IF(TAREAS!$I$26="Despliegue documentado","D","L")),""))</f>
        <v/>
      </c>
      <c r="Y27" s="14" t="str">
        <f>IF(TAREAS!$I$26="Propuesta",IF(AND(Y$7&gt;=TAREAS!$G$26,Y$7&lt;=TAREAS!$H$26,CALENDARIO!$C$29=1),"P",""),IF(ISNUMBER(SEARCH(TEXT(Y$7,"yyyy-mm-dd"),TAREAS!$J$26)),IF(TAREAS!$I$26="Registro Git","R",IF(TAREAS!$I$26="Despliegue documentado","D","L")),""))</f>
        <v/>
      </c>
      <c r="Z27" s="14" t="str">
        <f>IF(TAREAS!$I$26="Propuesta",IF(AND(Z$7&gt;=TAREAS!$G$26,Z$7&lt;=TAREAS!$H$26,CALENDARIO!$C$30=1),"P",""),IF(ISNUMBER(SEARCH(TEXT(Z$7,"yyyy-mm-dd"),TAREAS!$J$26)),IF(TAREAS!$I$26="Registro Git","R",IF(TAREAS!$I$26="Despliegue documentado","D","L")),""))</f>
        <v/>
      </c>
      <c r="AA27" s="14" t="str">
        <f>IF(TAREAS!$I$26="Propuesta",IF(AND(AA$7&gt;=TAREAS!$G$26,AA$7&lt;=TAREAS!$H$26,CALENDARIO!$C$31=1),"P",""),IF(ISNUMBER(SEARCH(TEXT(AA$7,"yyyy-mm-dd"),TAREAS!$J$26)),IF(TAREAS!$I$26="Registro Git","R",IF(TAREAS!$I$26="Despliegue documentado","D","L")),""))</f>
        <v/>
      </c>
      <c r="AB27" s="14" t="str">
        <f>IF(TAREAS!$I$26="Propuesta",IF(AND(AB$7&gt;=TAREAS!$G$26,AB$7&lt;=TAREAS!$H$26,CALENDARIO!$C$32=1),"P",""),IF(ISNUMBER(SEARCH(TEXT(AB$7,"yyyy-mm-dd"),TAREAS!$J$26)),IF(TAREAS!$I$26="Registro Git","R",IF(TAREAS!$I$26="Despliegue documentado","D","L")),""))</f>
        <v/>
      </c>
      <c r="AC27" s="14" t="str">
        <f>IF(TAREAS!$I$26="Propuesta",IF(AND(AC$7&gt;=TAREAS!$G$26,AC$7&lt;=TAREAS!$H$26,CALENDARIO!$C$33=1),"P",""),IF(ISNUMBER(SEARCH(TEXT(AC$7,"yyyy-mm-dd"),TAREAS!$J$26)),IF(TAREAS!$I$26="Registro Git","R",IF(TAREAS!$I$26="Despliegue documentado","D","L")),""))</f>
        <v/>
      </c>
      <c r="AD27" s="15" t="str">
        <f>IF(TAREAS!$I$26="Propuesta",IF(AND(AD$7&gt;=TAREAS!$G$26,AD$7&lt;=TAREAS!$H$26,CALENDARIO!$C$34=1),"P",""),IF(ISNUMBER(SEARCH(TEXT(AD$7,"yyyy-mm-dd"),TAREAS!$J$26)),IF(TAREAS!$I$26="Registro Git","R",IF(TAREAS!$I$26="Despliegue documentado","D","L")),""))</f>
        <v/>
      </c>
      <c r="AE27" s="15" t="str">
        <f>IF(TAREAS!$I$26="Propuesta",IF(AND(AE$7&gt;=TAREAS!$G$26,AE$7&lt;=TAREAS!$H$26,CALENDARIO!$C$35=1),"P",""),IF(ISNUMBER(SEARCH(TEXT(AE$7,"yyyy-mm-dd"),TAREAS!$J$26)),IF(TAREAS!$I$26="Registro Git","R",IF(TAREAS!$I$26="Despliegue documentado","D","L")),""))</f>
        <v/>
      </c>
      <c r="AF27" s="14" t="str">
        <f>IF(TAREAS!$I$26="Propuesta",IF(AND(AF$7&gt;=TAREAS!$G$26,AF$7&lt;=TAREAS!$H$26,CALENDARIO!$C$36=1),"P",""),IF(ISNUMBER(SEARCH(TEXT(AF$7,"yyyy-mm-dd"),TAREAS!$J$26)),IF(TAREAS!$I$26="Registro Git","R",IF(TAREAS!$I$26="Despliegue documentado","D","L")),""))</f>
        <v/>
      </c>
      <c r="AG27" s="14" t="str">
        <f>IF(TAREAS!$I$26="Propuesta",IF(AND(AG$7&gt;=TAREAS!$G$26,AG$7&lt;=TAREAS!$H$26,CALENDARIO!$C$37=1),"P",""),IF(ISNUMBER(SEARCH(TEXT(AG$7,"yyyy-mm-dd"),TAREAS!$J$26)),IF(TAREAS!$I$26="Registro Git","R",IF(TAREAS!$I$26="Despliegue documentado","D","L")),""))</f>
        <v/>
      </c>
      <c r="AH27" s="14" t="str">
        <f>IF(TAREAS!$I$26="Propuesta",IF(AND(AH$7&gt;=TAREAS!$G$26,AH$7&lt;=TAREAS!$H$26,CALENDARIO!$C$38=1),"P",""),IF(ISNUMBER(SEARCH(TEXT(AH$7,"yyyy-mm-dd"),TAREAS!$J$26)),IF(TAREAS!$I$26="Registro Git","R",IF(TAREAS!$I$26="Despliegue documentado","D","L")),""))</f>
        <v/>
      </c>
    </row>
    <row r="28" spans="1:34" ht="72" customHeight="1" x14ac:dyDescent="0.25">
      <c r="A28" s="17" t="str">
        <f>TAREAS!C27</f>
        <v>HU-G08 · Como Dirección, quiero consultar reportes y métricas explicables.</v>
      </c>
      <c r="B28" s="12" t="str">
        <f>TAREAS!A27&amp;" · "&amp;TAREAS!D27</f>
        <v>T-023 · Estadísticas del panel y ajuste del periodo de salidas</v>
      </c>
      <c r="C28" s="12" t="str">
        <f>TAREAS!F27</f>
        <v>yeiserDev</v>
      </c>
      <c r="D28" s="13">
        <f t="shared" si="0"/>
        <v>1</v>
      </c>
      <c r="E28" s="14" t="str">
        <f>IF(TAREAS!$I$27="Propuesta",IF(AND(E$7&gt;=TAREAS!$G$27,E$7&lt;=TAREAS!$H$27,CALENDARIO!$C$9=1),"P",""),IF(ISNUMBER(SEARCH(TEXT(E$7,"yyyy-mm-dd"),TAREAS!$J$27)),IF(TAREAS!$I$27="Registro Git","R",IF(TAREAS!$I$27="Despliegue documentado","D","L")),""))</f>
        <v/>
      </c>
      <c r="F28" s="14" t="str">
        <f>IF(TAREAS!$I$27="Propuesta",IF(AND(F$7&gt;=TAREAS!$G$27,F$7&lt;=TAREAS!$H$27,CALENDARIO!$C$10=1),"P",""),IF(ISNUMBER(SEARCH(TEXT(F$7,"yyyy-mm-dd"),TAREAS!$J$27)),IF(TAREAS!$I$27="Registro Git","R",IF(TAREAS!$I$27="Despliegue documentado","D","L")),""))</f>
        <v/>
      </c>
      <c r="G28" s="14" t="str">
        <f>IF(TAREAS!$I$27="Propuesta",IF(AND(G$7&gt;=TAREAS!$G$27,G$7&lt;=TAREAS!$H$27,CALENDARIO!$C$11=1),"P",""),IF(ISNUMBER(SEARCH(TEXT(G$7,"yyyy-mm-dd"),TAREAS!$J$27)),IF(TAREAS!$I$27="Registro Git","R",IF(TAREAS!$I$27="Despliegue documentado","D","L")),""))</f>
        <v/>
      </c>
      <c r="H28" s="14" t="str">
        <f>IF(TAREAS!$I$27="Propuesta",IF(AND(H$7&gt;=TAREAS!$G$27,H$7&lt;=TAREAS!$H$27,CALENDARIO!$C$12=1),"P",""),IF(ISNUMBER(SEARCH(TEXT(H$7,"yyyy-mm-dd"),TAREAS!$J$27)),IF(TAREAS!$I$27="Registro Git","R",IF(TAREAS!$I$27="Despliegue documentado","D","L")),""))</f>
        <v/>
      </c>
      <c r="I28" s="15" t="str">
        <f>IF(TAREAS!$I$27="Propuesta",IF(AND(I$7&gt;=TAREAS!$G$27,I$7&lt;=TAREAS!$H$27,CALENDARIO!$C$13=1),"P",""),IF(ISNUMBER(SEARCH(TEXT(I$7,"yyyy-mm-dd"),TAREAS!$J$27)),IF(TAREAS!$I$27="Registro Git","R",IF(TAREAS!$I$27="Despliegue documentado","D","L")),""))</f>
        <v/>
      </c>
      <c r="J28" s="15" t="str">
        <f>IF(TAREAS!$I$27="Propuesta",IF(AND(J$7&gt;=TAREAS!$G$27,J$7&lt;=TAREAS!$H$27,CALENDARIO!$C$14=1),"P",""),IF(ISNUMBER(SEARCH(TEXT(J$7,"yyyy-mm-dd"),TAREAS!$J$27)),IF(TAREAS!$I$27="Registro Git","R",IF(TAREAS!$I$27="Despliegue documentado","D","L")),""))</f>
        <v/>
      </c>
      <c r="K28" s="14" t="str">
        <f>IF(TAREAS!$I$27="Propuesta",IF(AND(K$7&gt;=TAREAS!$G$27,K$7&lt;=TAREAS!$H$27,CALENDARIO!$C$15=1),"P",""),IF(ISNUMBER(SEARCH(TEXT(K$7,"yyyy-mm-dd"),TAREAS!$J$27)),IF(TAREAS!$I$27="Registro Git","R",IF(TAREAS!$I$27="Despliegue documentado","D","L")),""))</f>
        <v/>
      </c>
      <c r="L28" s="14" t="str">
        <f>IF(TAREAS!$I$27="Propuesta",IF(AND(L$7&gt;=TAREAS!$G$27,L$7&lt;=TAREAS!$H$27,CALENDARIO!$C$16=1),"P",""),IF(ISNUMBER(SEARCH(TEXT(L$7,"yyyy-mm-dd"),TAREAS!$J$27)),IF(TAREAS!$I$27="Registro Git","R",IF(TAREAS!$I$27="Despliegue documentado","D","L")),""))</f>
        <v/>
      </c>
      <c r="M28" s="14" t="str">
        <f>IF(TAREAS!$I$27="Propuesta",IF(AND(M$7&gt;=TAREAS!$G$27,M$7&lt;=TAREAS!$H$27,CALENDARIO!$C$17=1),"P",""),IF(ISNUMBER(SEARCH(TEXT(M$7,"yyyy-mm-dd"),TAREAS!$J$27)),IF(TAREAS!$I$27="Registro Git","R",IF(TAREAS!$I$27="Despliegue documentado","D","L")),""))</f>
        <v/>
      </c>
      <c r="N28" s="14" t="str">
        <f>IF(TAREAS!$I$27="Propuesta",IF(AND(N$7&gt;=TAREAS!$G$27,N$7&lt;=TAREAS!$H$27,CALENDARIO!$C$18=1),"P",""),IF(ISNUMBER(SEARCH(TEXT(N$7,"yyyy-mm-dd"),TAREAS!$J$27)),IF(TAREAS!$I$27="Registro Git","R",IF(TAREAS!$I$27="Despliegue documentado","D","L")),""))</f>
        <v/>
      </c>
      <c r="O28" s="14" t="str">
        <f>IF(TAREAS!$I$27="Propuesta",IF(AND(O$7&gt;=TAREAS!$G$27,O$7&lt;=TAREAS!$H$27,CALENDARIO!$C$19=1),"P",""),IF(ISNUMBER(SEARCH(TEXT(O$7,"yyyy-mm-dd"),TAREAS!$J$27)),IF(TAREAS!$I$27="Registro Git","R",IF(TAREAS!$I$27="Despliegue documentado","D","L")),""))</f>
        <v/>
      </c>
      <c r="P28" s="15" t="str">
        <f>IF(TAREAS!$I$27="Propuesta",IF(AND(P$7&gt;=TAREAS!$G$27,P$7&lt;=TAREAS!$H$27,CALENDARIO!$C$20=1),"P",""),IF(ISNUMBER(SEARCH(TEXT(P$7,"yyyy-mm-dd"),TAREAS!$J$27)),IF(TAREAS!$I$27="Registro Git","R",IF(TAREAS!$I$27="Despliegue documentado","D","L")),""))</f>
        <v/>
      </c>
      <c r="Q28" s="15" t="str">
        <f>IF(TAREAS!$I$27="Propuesta",IF(AND(Q$7&gt;=TAREAS!$G$27,Q$7&lt;=TAREAS!$H$27,CALENDARIO!$C$21=1),"P",""),IF(ISNUMBER(SEARCH(TEXT(Q$7,"yyyy-mm-dd"),TAREAS!$J$27)),IF(TAREAS!$I$27="Registro Git","R",IF(TAREAS!$I$27="Despliegue documentado","D","L")),""))</f>
        <v/>
      </c>
      <c r="R28" s="14" t="str">
        <f>IF(TAREAS!$I$27="Propuesta",IF(AND(R$7&gt;=TAREAS!$G$27,R$7&lt;=TAREAS!$H$27,CALENDARIO!$C$22=1),"P",""),IF(ISNUMBER(SEARCH(TEXT(R$7,"yyyy-mm-dd"),TAREAS!$J$27)),IF(TAREAS!$I$27="Registro Git","R",IF(TAREAS!$I$27="Despliegue documentado","D","L")),""))</f>
        <v/>
      </c>
      <c r="S28" s="14" t="str">
        <f>IF(TAREAS!$I$27="Propuesta",IF(AND(S$7&gt;=TAREAS!$G$27,S$7&lt;=TAREAS!$H$27,CALENDARIO!$C$23=1),"P",""),IF(ISNUMBER(SEARCH(TEXT(S$7,"yyyy-mm-dd"),TAREAS!$J$27)),IF(TAREAS!$I$27="Registro Git","R",IF(TAREAS!$I$27="Despliegue documentado","D","L")),""))</f>
        <v/>
      </c>
      <c r="T28" s="14" t="str">
        <f>IF(TAREAS!$I$27="Propuesta",IF(AND(T$7&gt;=TAREAS!$G$27,T$7&lt;=TAREAS!$H$27,CALENDARIO!$C$24=1),"P",""),IF(ISNUMBER(SEARCH(TEXT(T$7,"yyyy-mm-dd"),TAREAS!$J$27)),IF(TAREAS!$I$27="Registro Git","R",IF(TAREAS!$I$27="Despliegue documentado","D","L")),""))</f>
        <v/>
      </c>
      <c r="U28" s="14" t="str">
        <f>IF(TAREAS!$I$27="Propuesta",IF(AND(U$7&gt;=TAREAS!$G$27,U$7&lt;=TAREAS!$H$27,CALENDARIO!$C$25=1),"P",""),IF(ISNUMBER(SEARCH(TEXT(U$7,"yyyy-mm-dd"),TAREAS!$J$27)),IF(TAREAS!$I$27="Registro Git","R",IF(TAREAS!$I$27="Despliegue documentado","D","L")),""))</f>
        <v/>
      </c>
      <c r="V28" s="14" t="str">
        <f>IF(TAREAS!$I$27="Propuesta",IF(AND(V$7&gt;=TAREAS!$G$27,V$7&lt;=TAREAS!$H$27,CALENDARIO!$C$26=1),"P",""),IF(ISNUMBER(SEARCH(TEXT(V$7,"yyyy-mm-dd"),TAREAS!$J$27)),IF(TAREAS!$I$27="Registro Git","R",IF(TAREAS!$I$27="Despliegue documentado","D","L")),""))</f>
        <v>R</v>
      </c>
      <c r="W28" s="15" t="str">
        <f>IF(TAREAS!$I$27="Propuesta",IF(AND(W$7&gt;=TAREAS!$G$27,W$7&lt;=TAREAS!$H$27,CALENDARIO!$C$27=1),"P",""),IF(ISNUMBER(SEARCH(TEXT(W$7,"yyyy-mm-dd"),TAREAS!$J$27)),IF(TAREAS!$I$27="Registro Git","R",IF(TAREAS!$I$27="Despliegue documentado","D","L")),""))</f>
        <v/>
      </c>
      <c r="X28" s="15" t="str">
        <f>IF(TAREAS!$I$27="Propuesta",IF(AND(X$7&gt;=TAREAS!$G$27,X$7&lt;=TAREAS!$H$27,CALENDARIO!$C$28=1),"P",""),IF(ISNUMBER(SEARCH(TEXT(X$7,"yyyy-mm-dd"),TAREAS!$J$27)),IF(TAREAS!$I$27="Registro Git","R",IF(TAREAS!$I$27="Despliegue documentado","D","L")),""))</f>
        <v/>
      </c>
      <c r="Y28" s="14" t="str">
        <f>IF(TAREAS!$I$27="Propuesta",IF(AND(Y$7&gt;=TAREAS!$G$27,Y$7&lt;=TAREAS!$H$27,CALENDARIO!$C$29=1),"P",""),IF(ISNUMBER(SEARCH(TEXT(Y$7,"yyyy-mm-dd"),TAREAS!$J$27)),IF(TAREAS!$I$27="Registro Git","R",IF(TAREAS!$I$27="Despliegue documentado","D","L")),""))</f>
        <v/>
      </c>
      <c r="Z28" s="14" t="str">
        <f>IF(TAREAS!$I$27="Propuesta",IF(AND(Z$7&gt;=TAREAS!$G$27,Z$7&lt;=TAREAS!$H$27,CALENDARIO!$C$30=1),"P",""),IF(ISNUMBER(SEARCH(TEXT(Z$7,"yyyy-mm-dd"),TAREAS!$J$27)),IF(TAREAS!$I$27="Registro Git","R",IF(TAREAS!$I$27="Despliegue documentado","D","L")),""))</f>
        <v/>
      </c>
      <c r="AA28" s="14" t="str">
        <f>IF(TAREAS!$I$27="Propuesta",IF(AND(AA$7&gt;=TAREAS!$G$27,AA$7&lt;=TAREAS!$H$27,CALENDARIO!$C$31=1),"P",""),IF(ISNUMBER(SEARCH(TEXT(AA$7,"yyyy-mm-dd"),TAREAS!$J$27)),IF(TAREAS!$I$27="Registro Git","R",IF(TAREAS!$I$27="Despliegue documentado","D","L")),""))</f>
        <v/>
      </c>
      <c r="AB28" s="14" t="str">
        <f>IF(TAREAS!$I$27="Propuesta",IF(AND(AB$7&gt;=TAREAS!$G$27,AB$7&lt;=TAREAS!$H$27,CALENDARIO!$C$32=1),"P",""),IF(ISNUMBER(SEARCH(TEXT(AB$7,"yyyy-mm-dd"),TAREAS!$J$27)),IF(TAREAS!$I$27="Registro Git","R",IF(TAREAS!$I$27="Despliegue documentado","D","L")),""))</f>
        <v/>
      </c>
      <c r="AC28" s="14" t="str">
        <f>IF(TAREAS!$I$27="Propuesta",IF(AND(AC$7&gt;=TAREAS!$G$27,AC$7&lt;=TAREAS!$H$27,CALENDARIO!$C$33=1),"P",""),IF(ISNUMBER(SEARCH(TEXT(AC$7,"yyyy-mm-dd"),TAREAS!$J$27)),IF(TAREAS!$I$27="Registro Git","R",IF(TAREAS!$I$27="Despliegue documentado","D","L")),""))</f>
        <v/>
      </c>
      <c r="AD28" s="15" t="str">
        <f>IF(TAREAS!$I$27="Propuesta",IF(AND(AD$7&gt;=TAREAS!$G$27,AD$7&lt;=TAREAS!$H$27,CALENDARIO!$C$34=1),"P",""),IF(ISNUMBER(SEARCH(TEXT(AD$7,"yyyy-mm-dd"),TAREAS!$J$27)),IF(TAREAS!$I$27="Registro Git","R",IF(TAREAS!$I$27="Despliegue documentado","D","L")),""))</f>
        <v/>
      </c>
      <c r="AE28" s="15" t="str">
        <f>IF(TAREAS!$I$27="Propuesta",IF(AND(AE$7&gt;=TAREAS!$G$27,AE$7&lt;=TAREAS!$H$27,CALENDARIO!$C$35=1),"P",""),IF(ISNUMBER(SEARCH(TEXT(AE$7,"yyyy-mm-dd"),TAREAS!$J$27)),IF(TAREAS!$I$27="Registro Git","R",IF(TAREAS!$I$27="Despliegue documentado","D","L")),""))</f>
        <v/>
      </c>
      <c r="AF28" s="14" t="str">
        <f>IF(TAREAS!$I$27="Propuesta",IF(AND(AF$7&gt;=TAREAS!$G$27,AF$7&lt;=TAREAS!$H$27,CALENDARIO!$C$36=1),"P",""),IF(ISNUMBER(SEARCH(TEXT(AF$7,"yyyy-mm-dd"),TAREAS!$J$27)),IF(TAREAS!$I$27="Registro Git","R",IF(TAREAS!$I$27="Despliegue documentado","D","L")),""))</f>
        <v/>
      </c>
      <c r="AG28" s="14" t="str">
        <f>IF(TAREAS!$I$27="Propuesta",IF(AND(AG$7&gt;=TAREAS!$G$27,AG$7&lt;=TAREAS!$H$27,CALENDARIO!$C$37=1),"P",""),IF(ISNUMBER(SEARCH(TEXT(AG$7,"yyyy-mm-dd"),TAREAS!$J$27)),IF(TAREAS!$I$27="Registro Git","R",IF(TAREAS!$I$27="Despliegue documentado","D","L")),""))</f>
        <v/>
      </c>
      <c r="AH28" s="14" t="str">
        <f>IF(TAREAS!$I$27="Propuesta",IF(AND(AH$7&gt;=TAREAS!$G$27,AH$7&lt;=TAREAS!$H$27,CALENDARIO!$C$38=1),"P",""),IF(ISNUMBER(SEARCH(TEXT(AH$7,"yyyy-mm-dd"),TAREAS!$J$27)),IF(TAREAS!$I$27="Registro Git","R",IF(TAREAS!$I$27="Despliegue documentado","D","L")),""))</f>
        <v/>
      </c>
    </row>
    <row r="29" spans="1:34" ht="72" customHeight="1" x14ac:dyDescent="0.25">
      <c r="A29" s="18" t="str">
        <f>TAREAS!C28</f>
        <v>HU-G04 · Como colaborador, quiero entregar evidencias y conocer el cierre de mi jornada.</v>
      </c>
      <c r="B29" s="12" t="str">
        <f>TAREAS!A28&amp;" · "&amp;TAREAS!D28</f>
        <v>T-024 · Exigir evidencia laboral antes de registrar salida</v>
      </c>
      <c r="C29" s="12" t="str">
        <f>TAREAS!F28</f>
        <v>yeiserDev</v>
      </c>
      <c r="D29" s="13">
        <f t="shared" si="0"/>
        <v>1</v>
      </c>
      <c r="E29" s="14" t="str">
        <f>IF(TAREAS!$I$28="Propuesta",IF(AND(E$7&gt;=TAREAS!$G$28,E$7&lt;=TAREAS!$H$28,CALENDARIO!$C$9=1),"P",""),IF(ISNUMBER(SEARCH(TEXT(E$7,"yyyy-mm-dd"),TAREAS!$J$28)),IF(TAREAS!$I$28="Registro Git","R",IF(TAREAS!$I$28="Despliegue documentado","D","L")),""))</f>
        <v/>
      </c>
      <c r="F29" s="14" t="str">
        <f>IF(TAREAS!$I$28="Propuesta",IF(AND(F$7&gt;=TAREAS!$G$28,F$7&lt;=TAREAS!$H$28,CALENDARIO!$C$10=1),"P",""),IF(ISNUMBER(SEARCH(TEXT(F$7,"yyyy-mm-dd"),TAREAS!$J$28)),IF(TAREAS!$I$28="Registro Git","R",IF(TAREAS!$I$28="Despliegue documentado","D","L")),""))</f>
        <v/>
      </c>
      <c r="G29" s="14" t="str">
        <f>IF(TAREAS!$I$28="Propuesta",IF(AND(G$7&gt;=TAREAS!$G$28,G$7&lt;=TAREAS!$H$28,CALENDARIO!$C$11=1),"P",""),IF(ISNUMBER(SEARCH(TEXT(G$7,"yyyy-mm-dd"),TAREAS!$J$28)),IF(TAREAS!$I$28="Registro Git","R",IF(TAREAS!$I$28="Despliegue documentado","D","L")),""))</f>
        <v/>
      </c>
      <c r="H29" s="14" t="str">
        <f>IF(TAREAS!$I$28="Propuesta",IF(AND(H$7&gt;=TAREAS!$G$28,H$7&lt;=TAREAS!$H$28,CALENDARIO!$C$12=1),"P",""),IF(ISNUMBER(SEARCH(TEXT(H$7,"yyyy-mm-dd"),TAREAS!$J$28)),IF(TAREAS!$I$28="Registro Git","R",IF(TAREAS!$I$28="Despliegue documentado","D","L")),""))</f>
        <v/>
      </c>
      <c r="I29" s="15" t="str">
        <f>IF(TAREAS!$I$28="Propuesta",IF(AND(I$7&gt;=TAREAS!$G$28,I$7&lt;=TAREAS!$H$28,CALENDARIO!$C$13=1),"P",""),IF(ISNUMBER(SEARCH(TEXT(I$7,"yyyy-mm-dd"),TAREAS!$J$28)),IF(TAREAS!$I$28="Registro Git","R",IF(TAREAS!$I$28="Despliegue documentado","D","L")),""))</f>
        <v/>
      </c>
      <c r="J29" s="15" t="str">
        <f>IF(TAREAS!$I$28="Propuesta",IF(AND(J$7&gt;=TAREAS!$G$28,J$7&lt;=TAREAS!$H$28,CALENDARIO!$C$14=1),"P",""),IF(ISNUMBER(SEARCH(TEXT(J$7,"yyyy-mm-dd"),TAREAS!$J$28)),IF(TAREAS!$I$28="Registro Git","R",IF(TAREAS!$I$28="Despliegue documentado","D","L")),""))</f>
        <v/>
      </c>
      <c r="K29" s="14" t="str">
        <f>IF(TAREAS!$I$28="Propuesta",IF(AND(K$7&gt;=TAREAS!$G$28,K$7&lt;=TAREAS!$H$28,CALENDARIO!$C$15=1),"P",""),IF(ISNUMBER(SEARCH(TEXT(K$7,"yyyy-mm-dd"),TAREAS!$J$28)),IF(TAREAS!$I$28="Registro Git","R",IF(TAREAS!$I$28="Despliegue documentado","D","L")),""))</f>
        <v/>
      </c>
      <c r="L29" s="14" t="str">
        <f>IF(TAREAS!$I$28="Propuesta",IF(AND(L$7&gt;=TAREAS!$G$28,L$7&lt;=TAREAS!$H$28,CALENDARIO!$C$16=1),"P",""),IF(ISNUMBER(SEARCH(TEXT(L$7,"yyyy-mm-dd"),TAREAS!$J$28)),IF(TAREAS!$I$28="Registro Git","R",IF(TAREAS!$I$28="Despliegue documentado","D","L")),""))</f>
        <v/>
      </c>
      <c r="M29" s="14" t="str">
        <f>IF(TAREAS!$I$28="Propuesta",IF(AND(M$7&gt;=TAREAS!$G$28,M$7&lt;=TAREAS!$H$28,CALENDARIO!$C$17=1),"P",""),IF(ISNUMBER(SEARCH(TEXT(M$7,"yyyy-mm-dd"),TAREAS!$J$28)),IF(TAREAS!$I$28="Registro Git","R",IF(TAREAS!$I$28="Despliegue documentado","D","L")),""))</f>
        <v/>
      </c>
      <c r="N29" s="14" t="str">
        <f>IF(TAREAS!$I$28="Propuesta",IF(AND(N$7&gt;=TAREAS!$G$28,N$7&lt;=TAREAS!$H$28,CALENDARIO!$C$18=1),"P",""),IF(ISNUMBER(SEARCH(TEXT(N$7,"yyyy-mm-dd"),TAREAS!$J$28)),IF(TAREAS!$I$28="Registro Git","R",IF(TAREAS!$I$28="Despliegue documentado","D","L")),""))</f>
        <v/>
      </c>
      <c r="O29" s="14" t="str">
        <f>IF(TAREAS!$I$28="Propuesta",IF(AND(O$7&gt;=TAREAS!$G$28,O$7&lt;=TAREAS!$H$28,CALENDARIO!$C$19=1),"P",""),IF(ISNUMBER(SEARCH(TEXT(O$7,"yyyy-mm-dd"),TAREAS!$J$28)),IF(TAREAS!$I$28="Registro Git","R",IF(TAREAS!$I$28="Despliegue documentado","D","L")),""))</f>
        <v/>
      </c>
      <c r="P29" s="15" t="str">
        <f>IF(TAREAS!$I$28="Propuesta",IF(AND(P$7&gt;=TAREAS!$G$28,P$7&lt;=TAREAS!$H$28,CALENDARIO!$C$20=1),"P",""),IF(ISNUMBER(SEARCH(TEXT(P$7,"yyyy-mm-dd"),TAREAS!$J$28)),IF(TAREAS!$I$28="Registro Git","R",IF(TAREAS!$I$28="Despliegue documentado","D","L")),""))</f>
        <v/>
      </c>
      <c r="Q29" s="15" t="str">
        <f>IF(TAREAS!$I$28="Propuesta",IF(AND(Q$7&gt;=TAREAS!$G$28,Q$7&lt;=TAREAS!$H$28,CALENDARIO!$C$21=1),"P",""),IF(ISNUMBER(SEARCH(TEXT(Q$7,"yyyy-mm-dd"),TAREAS!$J$28)),IF(TAREAS!$I$28="Registro Git","R",IF(TAREAS!$I$28="Despliegue documentado","D","L")),""))</f>
        <v/>
      </c>
      <c r="R29" s="14" t="str">
        <f>IF(TAREAS!$I$28="Propuesta",IF(AND(R$7&gt;=TAREAS!$G$28,R$7&lt;=TAREAS!$H$28,CALENDARIO!$C$22=1),"P",""),IF(ISNUMBER(SEARCH(TEXT(R$7,"yyyy-mm-dd"),TAREAS!$J$28)),IF(TAREAS!$I$28="Registro Git","R",IF(TAREAS!$I$28="Despliegue documentado","D","L")),""))</f>
        <v/>
      </c>
      <c r="S29" s="14" t="str">
        <f>IF(TAREAS!$I$28="Propuesta",IF(AND(S$7&gt;=TAREAS!$G$28,S$7&lt;=TAREAS!$H$28,CALENDARIO!$C$23=1),"P",""),IF(ISNUMBER(SEARCH(TEXT(S$7,"yyyy-mm-dd"),TAREAS!$J$28)),IF(TAREAS!$I$28="Registro Git","R",IF(TAREAS!$I$28="Despliegue documentado","D","L")),""))</f>
        <v/>
      </c>
      <c r="T29" s="14" t="str">
        <f>IF(TAREAS!$I$28="Propuesta",IF(AND(T$7&gt;=TAREAS!$G$28,T$7&lt;=TAREAS!$H$28,CALENDARIO!$C$24=1),"P",""),IF(ISNUMBER(SEARCH(TEXT(T$7,"yyyy-mm-dd"),TAREAS!$J$28)),IF(TAREAS!$I$28="Registro Git","R",IF(TAREAS!$I$28="Despliegue documentado","D","L")),""))</f>
        <v/>
      </c>
      <c r="U29" s="14" t="str">
        <f>IF(TAREAS!$I$28="Propuesta",IF(AND(U$7&gt;=TAREAS!$G$28,U$7&lt;=TAREAS!$H$28,CALENDARIO!$C$25=1),"P",""),IF(ISNUMBER(SEARCH(TEXT(U$7,"yyyy-mm-dd"),TAREAS!$J$28)),IF(TAREAS!$I$28="Registro Git","R",IF(TAREAS!$I$28="Despliegue documentado","D","L")),""))</f>
        <v/>
      </c>
      <c r="V29" s="14" t="str">
        <f>IF(TAREAS!$I$28="Propuesta",IF(AND(V$7&gt;=TAREAS!$G$28,V$7&lt;=TAREAS!$H$28,CALENDARIO!$C$26=1),"P",""),IF(ISNUMBER(SEARCH(TEXT(V$7,"yyyy-mm-dd"),TAREAS!$J$28)),IF(TAREAS!$I$28="Registro Git","R",IF(TAREAS!$I$28="Despliegue documentado","D","L")),""))</f>
        <v/>
      </c>
      <c r="W29" s="15" t="str">
        <f>IF(TAREAS!$I$28="Propuesta",IF(AND(W$7&gt;=TAREAS!$G$28,W$7&lt;=TAREAS!$H$28,CALENDARIO!$C$27=1),"P",""),IF(ISNUMBER(SEARCH(TEXT(W$7,"yyyy-mm-dd"),TAREAS!$J$28)),IF(TAREAS!$I$28="Registro Git","R",IF(TAREAS!$I$28="Despliegue documentado","D","L")),""))</f>
        <v>R</v>
      </c>
      <c r="X29" s="15" t="str">
        <f>IF(TAREAS!$I$28="Propuesta",IF(AND(X$7&gt;=TAREAS!$G$28,X$7&lt;=TAREAS!$H$28,CALENDARIO!$C$28=1),"P",""),IF(ISNUMBER(SEARCH(TEXT(X$7,"yyyy-mm-dd"),TAREAS!$J$28)),IF(TAREAS!$I$28="Registro Git","R",IF(TAREAS!$I$28="Despliegue documentado","D","L")),""))</f>
        <v/>
      </c>
      <c r="Y29" s="14" t="str">
        <f>IF(TAREAS!$I$28="Propuesta",IF(AND(Y$7&gt;=TAREAS!$G$28,Y$7&lt;=TAREAS!$H$28,CALENDARIO!$C$29=1),"P",""),IF(ISNUMBER(SEARCH(TEXT(Y$7,"yyyy-mm-dd"),TAREAS!$J$28)),IF(TAREAS!$I$28="Registro Git","R",IF(TAREAS!$I$28="Despliegue documentado","D","L")),""))</f>
        <v/>
      </c>
      <c r="Z29" s="14" t="str">
        <f>IF(TAREAS!$I$28="Propuesta",IF(AND(Z$7&gt;=TAREAS!$G$28,Z$7&lt;=TAREAS!$H$28,CALENDARIO!$C$30=1),"P",""),IF(ISNUMBER(SEARCH(TEXT(Z$7,"yyyy-mm-dd"),TAREAS!$J$28)),IF(TAREAS!$I$28="Registro Git","R",IF(TAREAS!$I$28="Despliegue documentado","D","L")),""))</f>
        <v/>
      </c>
      <c r="AA29" s="14" t="str">
        <f>IF(TAREAS!$I$28="Propuesta",IF(AND(AA$7&gt;=TAREAS!$G$28,AA$7&lt;=TAREAS!$H$28,CALENDARIO!$C$31=1),"P",""),IF(ISNUMBER(SEARCH(TEXT(AA$7,"yyyy-mm-dd"),TAREAS!$J$28)),IF(TAREAS!$I$28="Registro Git","R",IF(TAREAS!$I$28="Despliegue documentado","D","L")),""))</f>
        <v/>
      </c>
      <c r="AB29" s="14" t="str">
        <f>IF(TAREAS!$I$28="Propuesta",IF(AND(AB$7&gt;=TAREAS!$G$28,AB$7&lt;=TAREAS!$H$28,CALENDARIO!$C$32=1),"P",""),IF(ISNUMBER(SEARCH(TEXT(AB$7,"yyyy-mm-dd"),TAREAS!$J$28)),IF(TAREAS!$I$28="Registro Git","R",IF(TAREAS!$I$28="Despliegue documentado","D","L")),""))</f>
        <v/>
      </c>
      <c r="AC29" s="14" t="str">
        <f>IF(TAREAS!$I$28="Propuesta",IF(AND(AC$7&gt;=TAREAS!$G$28,AC$7&lt;=TAREAS!$H$28,CALENDARIO!$C$33=1),"P",""),IF(ISNUMBER(SEARCH(TEXT(AC$7,"yyyy-mm-dd"),TAREAS!$J$28)),IF(TAREAS!$I$28="Registro Git","R",IF(TAREAS!$I$28="Despliegue documentado","D","L")),""))</f>
        <v/>
      </c>
      <c r="AD29" s="15" t="str">
        <f>IF(TAREAS!$I$28="Propuesta",IF(AND(AD$7&gt;=TAREAS!$G$28,AD$7&lt;=TAREAS!$H$28,CALENDARIO!$C$34=1),"P",""),IF(ISNUMBER(SEARCH(TEXT(AD$7,"yyyy-mm-dd"),TAREAS!$J$28)),IF(TAREAS!$I$28="Registro Git","R",IF(TAREAS!$I$28="Despliegue documentado","D","L")),""))</f>
        <v/>
      </c>
      <c r="AE29" s="15" t="str">
        <f>IF(TAREAS!$I$28="Propuesta",IF(AND(AE$7&gt;=TAREAS!$G$28,AE$7&lt;=TAREAS!$H$28,CALENDARIO!$C$35=1),"P",""),IF(ISNUMBER(SEARCH(TEXT(AE$7,"yyyy-mm-dd"),TAREAS!$J$28)),IF(TAREAS!$I$28="Registro Git","R",IF(TAREAS!$I$28="Despliegue documentado","D","L")),""))</f>
        <v/>
      </c>
      <c r="AF29" s="14" t="str">
        <f>IF(TAREAS!$I$28="Propuesta",IF(AND(AF$7&gt;=TAREAS!$G$28,AF$7&lt;=TAREAS!$H$28,CALENDARIO!$C$36=1),"P",""),IF(ISNUMBER(SEARCH(TEXT(AF$7,"yyyy-mm-dd"),TAREAS!$J$28)),IF(TAREAS!$I$28="Registro Git","R",IF(TAREAS!$I$28="Despliegue documentado","D","L")),""))</f>
        <v/>
      </c>
      <c r="AG29" s="14" t="str">
        <f>IF(TAREAS!$I$28="Propuesta",IF(AND(AG$7&gt;=TAREAS!$G$28,AG$7&lt;=TAREAS!$H$28,CALENDARIO!$C$37=1),"P",""),IF(ISNUMBER(SEARCH(TEXT(AG$7,"yyyy-mm-dd"),TAREAS!$J$28)),IF(TAREAS!$I$28="Registro Git","R",IF(TAREAS!$I$28="Despliegue documentado","D","L")),""))</f>
        <v/>
      </c>
      <c r="AH29" s="14" t="str">
        <f>IF(TAREAS!$I$28="Propuesta",IF(AND(AH$7&gt;=TAREAS!$G$28,AH$7&lt;=TAREAS!$H$28,CALENDARIO!$C$38=1),"P",""),IF(ISNUMBER(SEARCH(TEXT(AH$7,"yyyy-mm-dd"),TAREAS!$J$28)),IF(TAREAS!$I$28="Registro Git","R",IF(TAREAS!$I$28="Despliegue documentado","D","L")),""))</f>
        <v/>
      </c>
    </row>
    <row r="30" spans="1:34" ht="72" customHeight="1" x14ac:dyDescent="0.25">
      <c r="A30" s="11" t="str">
        <f>TAREAS!C29</f>
        <v>HU-G01 · Como colaborador, quiero acceder al portal y consultar mi asistencia.</v>
      </c>
      <c r="B30" s="12" t="str">
        <f>TAREAS!A29&amp;" · "&amp;TAREAS!D29</f>
        <v>T-025 · Ajustes de tema, tarjetas y experiencia de equipo</v>
      </c>
      <c r="C30" s="12" t="str">
        <f>TAREAS!F29</f>
        <v>yeiserDev</v>
      </c>
      <c r="D30" s="13">
        <f t="shared" si="0"/>
        <v>2</v>
      </c>
      <c r="E30" s="14" t="str">
        <f>IF(TAREAS!$I$29="Propuesta",IF(AND(E$7&gt;=TAREAS!$G$29,E$7&lt;=TAREAS!$H$29,CALENDARIO!$C$9=1),"P",""),IF(ISNUMBER(SEARCH(TEXT(E$7,"yyyy-mm-dd"),TAREAS!$J$29)),IF(TAREAS!$I$29="Registro Git","R",IF(TAREAS!$I$29="Despliegue documentado","D","L")),""))</f>
        <v/>
      </c>
      <c r="F30" s="14" t="str">
        <f>IF(TAREAS!$I$29="Propuesta",IF(AND(F$7&gt;=TAREAS!$G$29,F$7&lt;=TAREAS!$H$29,CALENDARIO!$C$10=1),"P",""),IF(ISNUMBER(SEARCH(TEXT(F$7,"yyyy-mm-dd"),TAREAS!$J$29)),IF(TAREAS!$I$29="Registro Git","R",IF(TAREAS!$I$29="Despliegue documentado","D","L")),""))</f>
        <v/>
      </c>
      <c r="G30" s="14" t="str">
        <f>IF(TAREAS!$I$29="Propuesta",IF(AND(G$7&gt;=TAREAS!$G$29,G$7&lt;=TAREAS!$H$29,CALENDARIO!$C$11=1),"P",""),IF(ISNUMBER(SEARCH(TEXT(G$7,"yyyy-mm-dd"),TAREAS!$J$29)),IF(TAREAS!$I$29="Registro Git","R",IF(TAREAS!$I$29="Despliegue documentado","D","L")),""))</f>
        <v/>
      </c>
      <c r="H30" s="14" t="str">
        <f>IF(TAREAS!$I$29="Propuesta",IF(AND(H$7&gt;=TAREAS!$G$29,H$7&lt;=TAREAS!$H$29,CALENDARIO!$C$12=1),"P",""),IF(ISNUMBER(SEARCH(TEXT(H$7,"yyyy-mm-dd"),TAREAS!$J$29)),IF(TAREAS!$I$29="Registro Git","R",IF(TAREAS!$I$29="Despliegue documentado","D","L")),""))</f>
        <v/>
      </c>
      <c r="I30" s="15" t="str">
        <f>IF(TAREAS!$I$29="Propuesta",IF(AND(I$7&gt;=TAREAS!$G$29,I$7&lt;=TAREAS!$H$29,CALENDARIO!$C$13=1),"P",""),IF(ISNUMBER(SEARCH(TEXT(I$7,"yyyy-mm-dd"),TAREAS!$J$29)),IF(TAREAS!$I$29="Registro Git","R",IF(TAREAS!$I$29="Despliegue documentado","D","L")),""))</f>
        <v/>
      </c>
      <c r="J30" s="15" t="str">
        <f>IF(TAREAS!$I$29="Propuesta",IF(AND(J$7&gt;=TAREAS!$G$29,J$7&lt;=TAREAS!$H$29,CALENDARIO!$C$14=1),"P",""),IF(ISNUMBER(SEARCH(TEXT(J$7,"yyyy-mm-dd"),TAREAS!$J$29)),IF(TAREAS!$I$29="Registro Git","R",IF(TAREAS!$I$29="Despliegue documentado","D","L")),""))</f>
        <v/>
      </c>
      <c r="K30" s="14" t="str">
        <f>IF(TAREAS!$I$29="Propuesta",IF(AND(K$7&gt;=TAREAS!$G$29,K$7&lt;=TAREAS!$H$29,CALENDARIO!$C$15=1),"P",""),IF(ISNUMBER(SEARCH(TEXT(K$7,"yyyy-mm-dd"),TAREAS!$J$29)),IF(TAREAS!$I$29="Registro Git","R",IF(TAREAS!$I$29="Despliegue documentado","D","L")),""))</f>
        <v/>
      </c>
      <c r="L30" s="14" t="str">
        <f>IF(TAREAS!$I$29="Propuesta",IF(AND(L$7&gt;=TAREAS!$G$29,L$7&lt;=TAREAS!$H$29,CALENDARIO!$C$16=1),"P",""),IF(ISNUMBER(SEARCH(TEXT(L$7,"yyyy-mm-dd"),TAREAS!$J$29)),IF(TAREAS!$I$29="Registro Git","R",IF(TAREAS!$I$29="Despliegue documentado","D","L")),""))</f>
        <v/>
      </c>
      <c r="M30" s="14" t="str">
        <f>IF(TAREAS!$I$29="Propuesta",IF(AND(M$7&gt;=TAREAS!$G$29,M$7&lt;=TAREAS!$H$29,CALENDARIO!$C$17=1),"P",""),IF(ISNUMBER(SEARCH(TEXT(M$7,"yyyy-mm-dd"),TAREAS!$J$29)),IF(TAREAS!$I$29="Registro Git","R",IF(TAREAS!$I$29="Despliegue documentado","D","L")),""))</f>
        <v/>
      </c>
      <c r="N30" s="14" t="str">
        <f>IF(TAREAS!$I$29="Propuesta",IF(AND(N$7&gt;=TAREAS!$G$29,N$7&lt;=TAREAS!$H$29,CALENDARIO!$C$18=1),"P",""),IF(ISNUMBER(SEARCH(TEXT(N$7,"yyyy-mm-dd"),TAREAS!$J$29)),IF(TAREAS!$I$29="Registro Git","R",IF(TAREAS!$I$29="Despliegue documentado","D","L")),""))</f>
        <v/>
      </c>
      <c r="O30" s="14" t="str">
        <f>IF(TAREAS!$I$29="Propuesta",IF(AND(O$7&gt;=TAREAS!$G$29,O$7&lt;=TAREAS!$H$29,CALENDARIO!$C$19=1),"P",""),IF(ISNUMBER(SEARCH(TEXT(O$7,"yyyy-mm-dd"),TAREAS!$J$29)),IF(TAREAS!$I$29="Registro Git","R",IF(TAREAS!$I$29="Despliegue documentado","D","L")),""))</f>
        <v/>
      </c>
      <c r="P30" s="15" t="str">
        <f>IF(TAREAS!$I$29="Propuesta",IF(AND(P$7&gt;=TAREAS!$G$29,P$7&lt;=TAREAS!$H$29,CALENDARIO!$C$20=1),"P",""),IF(ISNUMBER(SEARCH(TEXT(P$7,"yyyy-mm-dd"),TAREAS!$J$29)),IF(TAREAS!$I$29="Registro Git","R",IF(TAREAS!$I$29="Despliegue documentado","D","L")),""))</f>
        <v/>
      </c>
      <c r="Q30" s="15" t="str">
        <f>IF(TAREAS!$I$29="Propuesta",IF(AND(Q$7&gt;=TAREAS!$G$29,Q$7&lt;=TAREAS!$H$29,CALENDARIO!$C$21=1),"P",""),IF(ISNUMBER(SEARCH(TEXT(Q$7,"yyyy-mm-dd"),TAREAS!$J$29)),IF(TAREAS!$I$29="Registro Git","R",IF(TAREAS!$I$29="Despliegue documentado","D","L")),""))</f>
        <v/>
      </c>
      <c r="R30" s="14" t="str">
        <f>IF(TAREAS!$I$29="Propuesta",IF(AND(R$7&gt;=TAREAS!$G$29,R$7&lt;=TAREAS!$H$29,CALENDARIO!$C$22=1),"P",""),IF(ISNUMBER(SEARCH(TEXT(R$7,"yyyy-mm-dd"),TAREAS!$J$29)),IF(TAREAS!$I$29="Registro Git","R",IF(TAREAS!$I$29="Despliegue documentado","D","L")),""))</f>
        <v/>
      </c>
      <c r="S30" s="14" t="str">
        <f>IF(TAREAS!$I$29="Propuesta",IF(AND(S$7&gt;=TAREAS!$G$29,S$7&lt;=TAREAS!$H$29,CALENDARIO!$C$23=1),"P",""),IF(ISNUMBER(SEARCH(TEXT(S$7,"yyyy-mm-dd"),TAREAS!$J$29)),IF(TAREAS!$I$29="Registro Git","R",IF(TAREAS!$I$29="Despliegue documentado","D","L")),""))</f>
        <v/>
      </c>
      <c r="T30" s="14" t="str">
        <f>IF(TAREAS!$I$29="Propuesta",IF(AND(T$7&gt;=TAREAS!$G$29,T$7&lt;=TAREAS!$H$29,CALENDARIO!$C$24=1),"P",""),IF(ISNUMBER(SEARCH(TEXT(T$7,"yyyy-mm-dd"),TAREAS!$J$29)),IF(TAREAS!$I$29="Registro Git","R",IF(TAREAS!$I$29="Despliegue documentado","D","L")),""))</f>
        <v/>
      </c>
      <c r="U30" s="14" t="str">
        <f>IF(TAREAS!$I$29="Propuesta",IF(AND(U$7&gt;=TAREAS!$G$29,U$7&lt;=TAREAS!$H$29,CALENDARIO!$C$25=1),"P",""),IF(ISNUMBER(SEARCH(TEXT(U$7,"yyyy-mm-dd"),TAREAS!$J$29)),IF(TAREAS!$I$29="Registro Git","R",IF(TAREAS!$I$29="Despliegue documentado","D","L")),""))</f>
        <v/>
      </c>
      <c r="V30" s="14" t="str">
        <f>IF(TAREAS!$I$29="Propuesta",IF(AND(V$7&gt;=TAREAS!$G$29,V$7&lt;=TAREAS!$H$29,CALENDARIO!$C$26=1),"P",""),IF(ISNUMBER(SEARCH(TEXT(V$7,"yyyy-mm-dd"),TAREAS!$J$29)),IF(TAREAS!$I$29="Registro Git","R",IF(TAREAS!$I$29="Despliegue documentado","D","L")),""))</f>
        <v/>
      </c>
      <c r="W30" s="15" t="str">
        <f>IF(TAREAS!$I$29="Propuesta",IF(AND(W$7&gt;=TAREAS!$G$29,W$7&lt;=TAREAS!$H$29,CALENDARIO!$C$27=1),"P",""),IF(ISNUMBER(SEARCH(TEXT(W$7,"yyyy-mm-dd"),TAREAS!$J$29)),IF(TAREAS!$I$29="Registro Git","R",IF(TAREAS!$I$29="Despliegue documentado","D","L")),""))</f>
        <v>R</v>
      </c>
      <c r="X30" s="15" t="str">
        <f>IF(TAREAS!$I$29="Propuesta",IF(AND(X$7&gt;=TAREAS!$G$29,X$7&lt;=TAREAS!$H$29,CALENDARIO!$C$28=1),"P",""),IF(ISNUMBER(SEARCH(TEXT(X$7,"yyyy-mm-dd"),TAREAS!$J$29)),IF(TAREAS!$I$29="Registro Git","R",IF(TAREAS!$I$29="Despliegue documentado","D","L")),""))</f>
        <v>R</v>
      </c>
      <c r="Y30" s="14" t="str">
        <f>IF(TAREAS!$I$29="Propuesta",IF(AND(Y$7&gt;=TAREAS!$G$29,Y$7&lt;=TAREAS!$H$29,CALENDARIO!$C$29=1),"P",""),IF(ISNUMBER(SEARCH(TEXT(Y$7,"yyyy-mm-dd"),TAREAS!$J$29)),IF(TAREAS!$I$29="Registro Git","R",IF(TAREAS!$I$29="Despliegue documentado","D","L")),""))</f>
        <v/>
      </c>
      <c r="Z30" s="14" t="str">
        <f>IF(TAREAS!$I$29="Propuesta",IF(AND(Z$7&gt;=TAREAS!$G$29,Z$7&lt;=TAREAS!$H$29,CALENDARIO!$C$30=1),"P",""),IF(ISNUMBER(SEARCH(TEXT(Z$7,"yyyy-mm-dd"),TAREAS!$J$29)),IF(TAREAS!$I$29="Registro Git","R",IF(TAREAS!$I$29="Despliegue documentado","D","L")),""))</f>
        <v/>
      </c>
      <c r="AA30" s="14" t="str">
        <f>IF(TAREAS!$I$29="Propuesta",IF(AND(AA$7&gt;=TAREAS!$G$29,AA$7&lt;=TAREAS!$H$29,CALENDARIO!$C$31=1),"P",""),IF(ISNUMBER(SEARCH(TEXT(AA$7,"yyyy-mm-dd"),TAREAS!$J$29)),IF(TAREAS!$I$29="Registro Git","R",IF(TAREAS!$I$29="Despliegue documentado","D","L")),""))</f>
        <v/>
      </c>
      <c r="AB30" s="14" t="str">
        <f>IF(TAREAS!$I$29="Propuesta",IF(AND(AB$7&gt;=TAREAS!$G$29,AB$7&lt;=TAREAS!$H$29,CALENDARIO!$C$32=1),"P",""),IF(ISNUMBER(SEARCH(TEXT(AB$7,"yyyy-mm-dd"),TAREAS!$J$29)),IF(TAREAS!$I$29="Registro Git","R",IF(TAREAS!$I$29="Despliegue documentado","D","L")),""))</f>
        <v/>
      </c>
      <c r="AC30" s="14" t="str">
        <f>IF(TAREAS!$I$29="Propuesta",IF(AND(AC$7&gt;=TAREAS!$G$29,AC$7&lt;=TAREAS!$H$29,CALENDARIO!$C$33=1),"P",""),IF(ISNUMBER(SEARCH(TEXT(AC$7,"yyyy-mm-dd"),TAREAS!$J$29)),IF(TAREAS!$I$29="Registro Git","R",IF(TAREAS!$I$29="Despliegue documentado","D","L")),""))</f>
        <v/>
      </c>
      <c r="AD30" s="15" t="str">
        <f>IF(TAREAS!$I$29="Propuesta",IF(AND(AD$7&gt;=TAREAS!$G$29,AD$7&lt;=TAREAS!$H$29,CALENDARIO!$C$34=1),"P",""),IF(ISNUMBER(SEARCH(TEXT(AD$7,"yyyy-mm-dd"),TAREAS!$J$29)),IF(TAREAS!$I$29="Registro Git","R",IF(TAREAS!$I$29="Despliegue documentado","D","L")),""))</f>
        <v/>
      </c>
      <c r="AE30" s="15" t="str">
        <f>IF(TAREAS!$I$29="Propuesta",IF(AND(AE$7&gt;=TAREAS!$G$29,AE$7&lt;=TAREAS!$H$29,CALENDARIO!$C$35=1),"P",""),IF(ISNUMBER(SEARCH(TEXT(AE$7,"yyyy-mm-dd"),TAREAS!$J$29)),IF(TAREAS!$I$29="Registro Git","R",IF(TAREAS!$I$29="Despliegue documentado","D","L")),""))</f>
        <v/>
      </c>
      <c r="AF30" s="14" t="str">
        <f>IF(TAREAS!$I$29="Propuesta",IF(AND(AF$7&gt;=TAREAS!$G$29,AF$7&lt;=TAREAS!$H$29,CALENDARIO!$C$36=1),"P",""),IF(ISNUMBER(SEARCH(TEXT(AF$7,"yyyy-mm-dd"),TAREAS!$J$29)),IF(TAREAS!$I$29="Registro Git","R",IF(TAREAS!$I$29="Despliegue documentado","D","L")),""))</f>
        <v/>
      </c>
      <c r="AG30" s="14" t="str">
        <f>IF(TAREAS!$I$29="Propuesta",IF(AND(AG$7&gt;=TAREAS!$G$29,AG$7&lt;=TAREAS!$H$29,CALENDARIO!$C$37=1),"P",""),IF(ISNUMBER(SEARCH(TEXT(AG$7,"yyyy-mm-dd"),TAREAS!$J$29)),IF(TAREAS!$I$29="Registro Git","R",IF(TAREAS!$I$29="Despliegue documentado","D","L")),""))</f>
        <v/>
      </c>
      <c r="AH30" s="14" t="str">
        <f>IF(TAREAS!$I$29="Propuesta",IF(AND(AH$7&gt;=TAREAS!$G$29,AH$7&lt;=TAREAS!$H$29,CALENDARIO!$C$38=1),"P",""),IF(ISNUMBER(SEARCH(TEXT(AH$7,"yyyy-mm-dd"),TAREAS!$J$29)),IF(TAREAS!$I$29="Registro Git","R",IF(TAREAS!$I$29="Despliegue documentado","D","L")),""))</f>
        <v/>
      </c>
    </row>
    <row r="31" spans="1:34" ht="72" customHeight="1" x14ac:dyDescent="0.25">
      <c r="A31" s="20" t="str">
        <f>TAREAS!C30</f>
        <v>HU-G06 · Como usuario, quiero comunicarme con mi equipo y consultar avisos.</v>
      </c>
      <c r="B31" s="12" t="str">
        <f>TAREAS!A30&amp;" · "&amp;TAREAS!D30</f>
        <v>T-026 · Comunicados emergentes y carrusel del dashboard</v>
      </c>
      <c r="C31" s="12" t="str">
        <f>TAREAS!F30</f>
        <v>JhonyVX, yeiserDev</v>
      </c>
      <c r="D31" s="13">
        <f t="shared" si="0"/>
        <v>1</v>
      </c>
      <c r="E31" s="14" t="str">
        <f>IF(TAREAS!$I$30="Propuesta",IF(AND(E$7&gt;=TAREAS!$G$30,E$7&lt;=TAREAS!$H$30,CALENDARIO!$C$9=1),"P",""),IF(ISNUMBER(SEARCH(TEXT(E$7,"yyyy-mm-dd"),TAREAS!$J$30)),IF(TAREAS!$I$30="Registro Git","R",IF(TAREAS!$I$30="Despliegue documentado","D","L")),""))</f>
        <v/>
      </c>
      <c r="F31" s="14" t="str">
        <f>IF(TAREAS!$I$30="Propuesta",IF(AND(F$7&gt;=TAREAS!$G$30,F$7&lt;=TAREAS!$H$30,CALENDARIO!$C$10=1),"P",""),IF(ISNUMBER(SEARCH(TEXT(F$7,"yyyy-mm-dd"),TAREAS!$J$30)),IF(TAREAS!$I$30="Registro Git","R",IF(TAREAS!$I$30="Despliegue documentado","D","L")),""))</f>
        <v/>
      </c>
      <c r="G31" s="14" t="str">
        <f>IF(TAREAS!$I$30="Propuesta",IF(AND(G$7&gt;=TAREAS!$G$30,G$7&lt;=TAREAS!$H$30,CALENDARIO!$C$11=1),"P",""),IF(ISNUMBER(SEARCH(TEXT(G$7,"yyyy-mm-dd"),TAREAS!$J$30)),IF(TAREAS!$I$30="Registro Git","R",IF(TAREAS!$I$30="Despliegue documentado","D","L")),""))</f>
        <v/>
      </c>
      <c r="H31" s="14" t="str">
        <f>IF(TAREAS!$I$30="Propuesta",IF(AND(H$7&gt;=TAREAS!$G$30,H$7&lt;=TAREAS!$H$30,CALENDARIO!$C$12=1),"P",""),IF(ISNUMBER(SEARCH(TEXT(H$7,"yyyy-mm-dd"),TAREAS!$J$30)),IF(TAREAS!$I$30="Registro Git","R",IF(TAREAS!$I$30="Despliegue documentado","D","L")),""))</f>
        <v/>
      </c>
      <c r="I31" s="15" t="str">
        <f>IF(TAREAS!$I$30="Propuesta",IF(AND(I$7&gt;=TAREAS!$G$30,I$7&lt;=TAREAS!$H$30,CALENDARIO!$C$13=1),"P",""),IF(ISNUMBER(SEARCH(TEXT(I$7,"yyyy-mm-dd"),TAREAS!$J$30)),IF(TAREAS!$I$30="Registro Git","R",IF(TAREAS!$I$30="Despliegue documentado","D","L")),""))</f>
        <v/>
      </c>
      <c r="J31" s="15" t="str">
        <f>IF(TAREAS!$I$30="Propuesta",IF(AND(J$7&gt;=TAREAS!$G$30,J$7&lt;=TAREAS!$H$30,CALENDARIO!$C$14=1),"P",""),IF(ISNUMBER(SEARCH(TEXT(J$7,"yyyy-mm-dd"),TAREAS!$J$30)),IF(TAREAS!$I$30="Registro Git","R",IF(TAREAS!$I$30="Despliegue documentado","D","L")),""))</f>
        <v/>
      </c>
      <c r="K31" s="14" t="str">
        <f>IF(TAREAS!$I$30="Propuesta",IF(AND(K$7&gt;=TAREAS!$G$30,K$7&lt;=TAREAS!$H$30,CALENDARIO!$C$15=1),"P",""),IF(ISNUMBER(SEARCH(TEXT(K$7,"yyyy-mm-dd"),TAREAS!$J$30)),IF(TAREAS!$I$30="Registro Git","R",IF(TAREAS!$I$30="Despliegue documentado","D","L")),""))</f>
        <v/>
      </c>
      <c r="L31" s="14" t="str">
        <f>IF(TAREAS!$I$30="Propuesta",IF(AND(L$7&gt;=TAREAS!$G$30,L$7&lt;=TAREAS!$H$30,CALENDARIO!$C$16=1),"P",""),IF(ISNUMBER(SEARCH(TEXT(L$7,"yyyy-mm-dd"),TAREAS!$J$30)),IF(TAREAS!$I$30="Registro Git","R",IF(TAREAS!$I$30="Despliegue documentado","D","L")),""))</f>
        <v/>
      </c>
      <c r="M31" s="14" t="str">
        <f>IF(TAREAS!$I$30="Propuesta",IF(AND(M$7&gt;=TAREAS!$G$30,M$7&lt;=TAREAS!$H$30,CALENDARIO!$C$17=1),"P",""),IF(ISNUMBER(SEARCH(TEXT(M$7,"yyyy-mm-dd"),TAREAS!$J$30)),IF(TAREAS!$I$30="Registro Git","R",IF(TAREAS!$I$30="Despliegue documentado","D","L")),""))</f>
        <v/>
      </c>
      <c r="N31" s="14" t="str">
        <f>IF(TAREAS!$I$30="Propuesta",IF(AND(N$7&gt;=TAREAS!$G$30,N$7&lt;=TAREAS!$H$30,CALENDARIO!$C$18=1),"P",""),IF(ISNUMBER(SEARCH(TEXT(N$7,"yyyy-mm-dd"),TAREAS!$J$30)),IF(TAREAS!$I$30="Registro Git","R",IF(TAREAS!$I$30="Despliegue documentado","D","L")),""))</f>
        <v/>
      </c>
      <c r="O31" s="14" t="str">
        <f>IF(TAREAS!$I$30="Propuesta",IF(AND(O$7&gt;=TAREAS!$G$30,O$7&lt;=TAREAS!$H$30,CALENDARIO!$C$19=1),"P",""),IF(ISNUMBER(SEARCH(TEXT(O$7,"yyyy-mm-dd"),TAREAS!$J$30)),IF(TAREAS!$I$30="Registro Git","R",IF(TAREAS!$I$30="Despliegue documentado","D","L")),""))</f>
        <v/>
      </c>
      <c r="P31" s="15" t="str">
        <f>IF(TAREAS!$I$30="Propuesta",IF(AND(P$7&gt;=TAREAS!$G$30,P$7&lt;=TAREAS!$H$30,CALENDARIO!$C$20=1),"P",""),IF(ISNUMBER(SEARCH(TEXT(P$7,"yyyy-mm-dd"),TAREAS!$J$30)),IF(TAREAS!$I$30="Registro Git","R",IF(TAREAS!$I$30="Despliegue documentado","D","L")),""))</f>
        <v/>
      </c>
      <c r="Q31" s="15" t="str">
        <f>IF(TAREAS!$I$30="Propuesta",IF(AND(Q$7&gt;=TAREAS!$G$30,Q$7&lt;=TAREAS!$H$30,CALENDARIO!$C$21=1),"P",""),IF(ISNUMBER(SEARCH(TEXT(Q$7,"yyyy-mm-dd"),TAREAS!$J$30)),IF(TAREAS!$I$30="Registro Git","R",IF(TAREAS!$I$30="Despliegue documentado","D","L")),""))</f>
        <v/>
      </c>
      <c r="R31" s="14" t="str">
        <f>IF(TAREAS!$I$30="Propuesta",IF(AND(R$7&gt;=TAREAS!$G$30,R$7&lt;=TAREAS!$H$30,CALENDARIO!$C$22=1),"P",""),IF(ISNUMBER(SEARCH(TEXT(R$7,"yyyy-mm-dd"),TAREAS!$J$30)),IF(TAREAS!$I$30="Registro Git","R",IF(TAREAS!$I$30="Despliegue documentado","D","L")),""))</f>
        <v/>
      </c>
      <c r="S31" s="14" t="str">
        <f>IF(TAREAS!$I$30="Propuesta",IF(AND(S$7&gt;=TAREAS!$G$30,S$7&lt;=TAREAS!$H$30,CALENDARIO!$C$23=1),"P",""),IF(ISNUMBER(SEARCH(TEXT(S$7,"yyyy-mm-dd"),TAREAS!$J$30)),IF(TAREAS!$I$30="Registro Git","R",IF(TAREAS!$I$30="Despliegue documentado","D","L")),""))</f>
        <v/>
      </c>
      <c r="T31" s="14" t="str">
        <f>IF(TAREAS!$I$30="Propuesta",IF(AND(T$7&gt;=TAREAS!$G$30,T$7&lt;=TAREAS!$H$30,CALENDARIO!$C$24=1),"P",""),IF(ISNUMBER(SEARCH(TEXT(T$7,"yyyy-mm-dd"),TAREAS!$J$30)),IF(TAREAS!$I$30="Registro Git","R",IF(TAREAS!$I$30="Despliegue documentado","D","L")),""))</f>
        <v/>
      </c>
      <c r="U31" s="14" t="str">
        <f>IF(TAREAS!$I$30="Propuesta",IF(AND(U$7&gt;=TAREAS!$G$30,U$7&lt;=TAREAS!$H$30,CALENDARIO!$C$25=1),"P",""),IF(ISNUMBER(SEARCH(TEXT(U$7,"yyyy-mm-dd"),TAREAS!$J$30)),IF(TAREAS!$I$30="Registro Git","R",IF(TAREAS!$I$30="Despliegue documentado","D","L")),""))</f>
        <v/>
      </c>
      <c r="V31" s="14" t="str">
        <f>IF(TAREAS!$I$30="Propuesta",IF(AND(V$7&gt;=TAREAS!$G$30,V$7&lt;=TAREAS!$H$30,CALENDARIO!$C$26=1),"P",""),IF(ISNUMBER(SEARCH(TEXT(V$7,"yyyy-mm-dd"),TAREAS!$J$30)),IF(TAREAS!$I$30="Registro Git","R",IF(TAREAS!$I$30="Despliegue documentado","D","L")),""))</f>
        <v/>
      </c>
      <c r="W31" s="15" t="str">
        <f>IF(TAREAS!$I$30="Propuesta",IF(AND(W$7&gt;=TAREAS!$G$30,W$7&lt;=TAREAS!$H$30,CALENDARIO!$C$27=1),"P",""),IF(ISNUMBER(SEARCH(TEXT(W$7,"yyyy-mm-dd"),TAREAS!$J$30)),IF(TAREAS!$I$30="Registro Git","R",IF(TAREAS!$I$30="Despliegue documentado","D","L")),""))</f>
        <v/>
      </c>
      <c r="X31" s="15" t="str">
        <f>IF(TAREAS!$I$30="Propuesta",IF(AND(X$7&gt;=TAREAS!$G$30,X$7&lt;=TAREAS!$H$30,CALENDARIO!$C$28=1),"P",""),IF(ISNUMBER(SEARCH(TEXT(X$7,"yyyy-mm-dd"),TAREAS!$J$30)),IF(TAREAS!$I$30="Registro Git","R",IF(TAREAS!$I$30="Despliegue documentado","D","L")),""))</f>
        <v/>
      </c>
      <c r="Y31" s="14" t="str">
        <f>IF(TAREAS!$I$30="Propuesta",IF(AND(Y$7&gt;=TAREAS!$G$30,Y$7&lt;=TAREAS!$H$30,CALENDARIO!$C$29=1),"P",""),IF(ISNUMBER(SEARCH(TEXT(Y$7,"yyyy-mm-dd"),TAREAS!$J$30)),IF(TAREAS!$I$30="Registro Git","R",IF(TAREAS!$I$30="Despliegue documentado","D","L")),""))</f>
        <v>R</v>
      </c>
      <c r="Z31" s="14" t="str">
        <f>IF(TAREAS!$I$30="Propuesta",IF(AND(Z$7&gt;=TAREAS!$G$30,Z$7&lt;=TAREAS!$H$30,CALENDARIO!$C$30=1),"P",""),IF(ISNUMBER(SEARCH(TEXT(Z$7,"yyyy-mm-dd"),TAREAS!$J$30)),IF(TAREAS!$I$30="Registro Git","R",IF(TAREAS!$I$30="Despliegue documentado","D","L")),""))</f>
        <v/>
      </c>
      <c r="AA31" s="14" t="str">
        <f>IF(TAREAS!$I$30="Propuesta",IF(AND(AA$7&gt;=TAREAS!$G$30,AA$7&lt;=TAREAS!$H$30,CALENDARIO!$C$31=1),"P",""),IF(ISNUMBER(SEARCH(TEXT(AA$7,"yyyy-mm-dd"),TAREAS!$J$30)),IF(TAREAS!$I$30="Registro Git","R",IF(TAREAS!$I$30="Despliegue documentado","D","L")),""))</f>
        <v/>
      </c>
      <c r="AB31" s="14" t="str">
        <f>IF(TAREAS!$I$30="Propuesta",IF(AND(AB$7&gt;=TAREAS!$G$30,AB$7&lt;=TAREAS!$H$30,CALENDARIO!$C$32=1),"P",""),IF(ISNUMBER(SEARCH(TEXT(AB$7,"yyyy-mm-dd"),TAREAS!$J$30)),IF(TAREAS!$I$30="Registro Git","R",IF(TAREAS!$I$30="Despliegue documentado","D","L")),""))</f>
        <v/>
      </c>
      <c r="AC31" s="14" t="str">
        <f>IF(TAREAS!$I$30="Propuesta",IF(AND(AC$7&gt;=TAREAS!$G$30,AC$7&lt;=TAREAS!$H$30,CALENDARIO!$C$33=1),"P",""),IF(ISNUMBER(SEARCH(TEXT(AC$7,"yyyy-mm-dd"),TAREAS!$J$30)),IF(TAREAS!$I$30="Registro Git","R",IF(TAREAS!$I$30="Despliegue documentado","D","L")),""))</f>
        <v/>
      </c>
      <c r="AD31" s="15" t="str">
        <f>IF(TAREAS!$I$30="Propuesta",IF(AND(AD$7&gt;=TAREAS!$G$30,AD$7&lt;=TAREAS!$H$30,CALENDARIO!$C$34=1),"P",""),IF(ISNUMBER(SEARCH(TEXT(AD$7,"yyyy-mm-dd"),TAREAS!$J$30)),IF(TAREAS!$I$30="Registro Git","R",IF(TAREAS!$I$30="Despliegue documentado","D","L")),""))</f>
        <v/>
      </c>
      <c r="AE31" s="15" t="str">
        <f>IF(TAREAS!$I$30="Propuesta",IF(AND(AE$7&gt;=TAREAS!$G$30,AE$7&lt;=TAREAS!$H$30,CALENDARIO!$C$35=1),"P",""),IF(ISNUMBER(SEARCH(TEXT(AE$7,"yyyy-mm-dd"),TAREAS!$J$30)),IF(TAREAS!$I$30="Registro Git","R",IF(TAREAS!$I$30="Despliegue documentado","D","L")),""))</f>
        <v/>
      </c>
      <c r="AF31" s="14" t="str">
        <f>IF(TAREAS!$I$30="Propuesta",IF(AND(AF$7&gt;=TAREAS!$G$30,AF$7&lt;=TAREAS!$H$30,CALENDARIO!$C$36=1),"P",""),IF(ISNUMBER(SEARCH(TEXT(AF$7,"yyyy-mm-dd"),TAREAS!$J$30)),IF(TAREAS!$I$30="Registro Git","R",IF(TAREAS!$I$30="Despliegue documentado","D","L")),""))</f>
        <v/>
      </c>
      <c r="AG31" s="14" t="str">
        <f>IF(TAREAS!$I$30="Propuesta",IF(AND(AG$7&gt;=TAREAS!$G$30,AG$7&lt;=TAREAS!$H$30,CALENDARIO!$C$37=1),"P",""),IF(ISNUMBER(SEARCH(TEXT(AG$7,"yyyy-mm-dd"),TAREAS!$J$30)),IF(TAREAS!$I$30="Registro Git","R",IF(TAREAS!$I$30="Despliegue documentado","D","L")),""))</f>
        <v/>
      </c>
      <c r="AH31" s="14" t="str">
        <f>IF(TAREAS!$I$30="Propuesta",IF(AND(AH$7&gt;=TAREAS!$G$30,AH$7&lt;=TAREAS!$H$30,CALENDARIO!$C$38=1),"P",""),IF(ISNUMBER(SEARCH(TEXT(AH$7,"yyyy-mm-dd"),TAREAS!$J$30)),IF(TAREAS!$I$30="Registro Git","R",IF(TAREAS!$I$30="Despliegue documentado","D","L")),""))</f>
        <v/>
      </c>
    </row>
    <row r="32" spans="1:34" ht="72" customHeight="1" x14ac:dyDescent="0.25">
      <c r="A32" s="18" t="str">
        <f>TAREAS!C31</f>
        <v>HU-G04 · Como colaborador, quiero entregar evidencias y conocer el cierre de mi jornada.</v>
      </c>
      <c r="B32" s="12" t="str">
        <f>TAREAS!A31&amp;" · "&amp;TAREAS!D31</f>
        <v>T-027 · Excepción individual de cierre y RPE presencial</v>
      </c>
      <c r="C32" s="12" t="str">
        <f>TAREAS!F31</f>
        <v>JhonyVX, yeiserDev</v>
      </c>
      <c r="D32" s="13">
        <f t="shared" si="0"/>
        <v>1</v>
      </c>
      <c r="E32" s="14" t="str">
        <f>IF(TAREAS!$I$31="Propuesta",IF(AND(E$7&gt;=TAREAS!$G$31,E$7&lt;=TAREAS!$H$31,CALENDARIO!$C$9=1),"P",""),IF(ISNUMBER(SEARCH(TEXT(E$7,"yyyy-mm-dd"),TAREAS!$J$31)),IF(TAREAS!$I$31="Registro Git","R",IF(TAREAS!$I$31="Despliegue documentado","D","L")),""))</f>
        <v/>
      </c>
      <c r="F32" s="14" t="str">
        <f>IF(TAREAS!$I$31="Propuesta",IF(AND(F$7&gt;=TAREAS!$G$31,F$7&lt;=TAREAS!$H$31,CALENDARIO!$C$10=1),"P",""),IF(ISNUMBER(SEARCH(TEXT(F$7,"yyyy-mm-dd"),TAREAS!$J$31)),IF(TAREAS!$I$31="Registro Git","R",IF(TAREAS!$I$31="Despliegue documentado","D","L")),""))</f>
        <v/>
      </c>
      <c r="G32" s="14" t="str">
        <f>IF(TAREAS!$I$31="Propuesta",IF(AND(G$7&gt;=TAREAS!$G$31,G$7&lt;=TAREAS!$H$31,CALENDARIO!$C$11=1),"P",""),IF(ISNUMBER(SEARCH(TEXT(G$7,"yyyy-mm-dd"),TAREAS!$J$31)),IF(TAREAS!$I$31="Registro Git","R",IF(TAREAS!$I$31="Despliegue documentado","D","L")),""))</f>
        <v/>
      </c>
      <c r="H32" s="14" t="str">
        <f>IF(TAREAS!$I$31="Propuesta",IF(AND(H$7&gt;=TAREAS!$G$31,H$7&lt;=TAREAS!$H$31,CALENDARIO!$C$12=1),"P",""),IF(ISNUMBER(SEARCH(TEXT(H$7,"yyyy-mm-dd"),TAREAS!$J$31)),IF(TAREAS!$I$31="Registro Git","R",IF(TAREAS!$I$31="Despliegue documentado","D","L")),""))</f>
        <v/>
      </c>
      <c r="I32" s="15" t="str">
        <f>IF(TAREAS!$I$31="Propuesta",IF(AND(I$7&gt;=TAREAS!$G$31,I$7&lt;=TAREAS!$H$31,CALENDARIO!$C$13=1),"P",""),IF(ISNUMBER(SEARCH(TEXT(I$7,"yyyy-mm-dd"),TAREAS!$J$31)),IF(TAREAS!$I$31="Registro Git","R",IF(TAREAS!$I$31="Despliegue documentado","D","L")),""))</f>
        <v/>
      </c>
      <c r="J32" s="15" t="str">
        <f>IF(TAREAS!$I$31="Propuesta",IF(AND(J$7&gt;=TAREAS!$G$31,J$7&lt;=TAREAS!$H$31,CALENDARIO!$C$14=1),"P",""),IF(ISNUMBER(SEARCH(TEXT(J$7,"yyyy-mm-dd"),TAREAS!$J$31)),IF(TAREAS!$I$31="Registro Git","R",IF(TAREAS!$I$31="Despliegue documentado","D","L")),""))</f>
        <v/>
      </c>
      <c r="K32" s="14" t="str">
        <f>IF(TAREAS!$I$31="Propuesta",IF(AND(K$7&gt;=TAREAS!$G$31,K$7&lt;=TAREAS!$H$31,CALENDARIO!$C$15=1),"P",""),IF(ISNUMBER(SEARCH(TEXT(K$7,"yyyy-mm-dd"),TAREAS!$J$31)),IF(TAREAS!$I$31="Registro Git","R",IF(TAREAS!$I$31="Despliegue documentado","D","L")),""))</f>
        <v/>
      </c>
      <c r="L32" s="14" t="str">
        <f>IF(TAREAS!$I$31="Propuesta",IF(AND(L$7&gt;=TAREAS!$G$31,L$7&lt;=TAREAS!$H$31,CALENDARIO!$C$16=1),"P",""),IF(ISNUMBER(SEARCH(TEXT(L$7,"yyyy-mm-dd"),TAREAS!$J$31)),IF(TAREAS!$I$31="Registro Git","R",IF(TAREAS!$I$31="Despliegue documentado","D","L")),""))</f>
        <v/>
      </c>
      <c r="M32" s="14" t="str">
        <f>IF(TAREAS!$I$31="Propuesta",IF(AND(M$7&gt;=TAREAS!$G$31,M$7&lt;=TAREAS!$H$31,CALENDARIO!$C$17=1),"P",""),IF(ISNUMBER(SEARCH(TEXT(M$7,"yyyy-mm-dd"),TAREAS!$J$31)),IF(TAREAS!$I$31="Registro Git","R",IF(TAREAS!$I$31="Despliegue documentado","D","L")),""))</f>
        <v/>
      </c>
      <c r="N32" s="14" t="str">
        <f>IF(TAREAS!$I$31="Propuesta",IF(AND(N$7&gt;=TAREAS!$G$31,N$7&lt;=TAREAS!$H$31,CALENDARIO!$C$18=1),"P",""),IF(ISNUMBER(SEARCH(TEXT(N$7,"yyyy-mm-dd"),TAREAS!$J$31)),IF(TAREAS!$I$31="Registro Git","R",IF(TAREAS!$I$31="Despliegue documentado","D","L")),""))</f>
        <v/>
      </c>
      <c r="O32" s="14" t="str">
        <f>IF(TAREAS!$I$31="Propuesta",IF(AND(O$7&gt;=TAREAS!$G$31,O$7&lt;=TAREAS!$H$31,CALENDARIO!$C$19=1),"P",""),IF(ISNUMBER(SEARCH(TEXT(O$7,"yyyy-mm-dd"),TAREAS!$J$31)),IF(TAREAS!$I$31="Registro Git","R",IF(TAREAS!$I$31="Despliegue documentado","D","L")),""))</f>
        <v/>
      </c>
      <c r="P32" s="15" t="str">
        <f>IF(TAREAS!$I$31="Propuesta",IF(AND(P$7&gt;=TAREAS!$G$31,P$7&lt;=TAREAS!$H$31,CALENDARIO!$C$20=1),"P",""),IF(ISNUMBER(SEARCH(TEXT(P$7,"yyyy-mm-dd"),TAREAS!$J$31)),IF(TAREAS!$I$31="Registro Git","R",IF(TAREAS!$I$31="Despliegue documentado","D","L")),""))</f>
        <v/>
      </c>
      <c r="Q32" s="15" t="str">
        <f>IF(TAREAS!$I$31="Propuesta",IF(AND(Q$7&gt;=TAREAS!$G$31,Q$7&lt;=TAREAS!$H$31,CALENDARIO!$C$21=1),"P",""),IF(ISNUMBER(SEARCH(TEXT(Q$7,"yyyy-mm-dd"),TAREAS!$J$31)),IF(TAREAS!$I$31="Registro Git","R",IF(TAREAS!$I$31="Despliegue documentado","D","L")),""))</f>
        <v/>
      </c>
      <c r="R32" s="14" t="str">
        <f>IF(TAREAS!$I$31="Propuesta",IF(AND(R$7&gt;=TAREAS!$G$31,R$7&lt;=TAREAS!$H$31,CALENDARIO!$C$22=1),"P",""),IF(ISNUMBER(SEARCH(TEXT(R$7,"yyyy-mm-dd"),TAREAS!$J$31)),IF(TAREAS!$I$31="Registro Git","R",IF(TAREAS!$I$31="Despliegue documentado","D","L")),""))</f>
        <v/>
      </c>
      <c r="S32" s="14" t="str">
        <f>IF(TAREAS!$I$31="Propuesta",IF(AND(S$7&gt;=TAREAS!$G$31,S$7&lt;=TAREAS!$H$31,CALENDARIO!$C$23=1),"P",""),IF(ISNUMBER(SEARCH(TEXT(S$7,"yyyy-mm-dd"),TAREAS!$J$31)),IF(TAREAS!$I$31="Registro Git","R",IF(TAREAS!$I$31="Despliegue documentado","D","L")),""))</f>
        <v/>
      </c>
      <c r="T32" s="14" t="str">
        <f>IF(TAREAS!$I$31="Propuesta",IF(AND(T$7&gt;=TAREAS!$G$31,T$7&lt;=TAREAS!$H$31,CALENDARIO!$C$24=1),"P",""),IF(ISNUMBER(SEARCH(TEXT(T$7,"yyyy-mm-dd"),TAREAS!$J$31)),IF(TAREAS!$I$31="Registro Git","R",IF(TAREAS!$I$31="Despliegue documentado","D","L")),""))</f>
        <v/>
      </c>
      <c r="U32" s="14" t="str">
        <f>IF(TAREAS!$I$31="Propuesta",IF(AND(U$7&gt;=TAREAS!$G$31,U$7&lt;=TAREAS!$H$31,CALENDARIO!$C$25=1),"P",""),IF(ISNUMBER(SEARCH(TEXT(U$7,"yyyy-mm-dd"),TAREAS!$J$31)),IF(TAREAS!$I$31="Registro Git","R",IF(TAREAS!$I$31="Despliegue documentado","D","L")),""))</f>
        <v/>
      </c>
      <c r="V32" s="14" t="str">
        <f>IF(TAREAS!$I$31="Propuesta",IF(AND(V$7&gt;=TAREAS!$G$31,V$7&lt;=TAREAS!$H$31,CALENDARIO!$C$26=1),"P",""),IF(ISNUMBER(SEARCH(TEXT(V$7,"yyyy-mm-dd"),TAREAS!$J$31)),IF(TAREAS!$I$31="Registro Git","R",IF(TAREAS!$I$31="Despliegue documentado","D","L")),""))</f>
        <v/>
      </c>
      <c r="W32" s="15" t="str">
        <f>IF(TAREAS!$I$31="Propuesta",IF(AND(W$7&gt;=TAREAS!$G$31,W$7&lt;=TAREAS!$H$31,CALENDARIO!$C$27=1),"P",""),IF(ISNUMBER(SEARCH(TEXT(W$7,"yyyy-mm-dd"),TAREAS!$J$31)),IF(TAREAS!$I$31="Registro Git","R",IF(TAREAS!$I$31="Despliegue documentado","D","L")),""))</f>
        <v/>
      </c>
      <c r="X32" s="15" t="str">
        <f>IF(TAREAS!$I$31="Propuesta",IF(AND(X$7&gt;=TAREAS!$G$31,X$7&lt;=TAREAS!$H$31,CALENDARIO!$C$28=1),"P",""),IF(ISNUMBER(SEARCH(TEXT(X$7,"yyyy-mm-dd"),TAREAS!$J$31)),IF(TAREAS!$I$31="Registro Git","R",IF(TAREAS!$I$31="Despliegue documentado","D","L")),""))</f>
        <v/>
      </c>
      <c r="Y32" s="14" t="str">
        <f>IF(TAREAS!$I$31="Propuesta",IF(AND(Y$7&gt;=TAREAS!$G$31,Y$7&lt;=TAREAS!$H$31,CALENDARIO!$C$29=1),"P",""),IF(ISNUMBER(SEARCH(TEXT(Y$7,"yyyy-mm-dd"),TAREAS!$J$31)),IF(TAREAS!$I$31="Registro Git","R",IF(TAREAS!$I$31="Despliegue documentado","D","L")),""))</f>
        <v>R</v>
      </c>
      <c r="Z32" s="14" t="str">
        <f>IF(TAREAS!$I$31="Propuesta",IF(AND(Z$7&gt;=TAREAS!$G$31,Z$7&lt;=TAREAS!$H$31,CALENDARIO!$C$30=1),"P",""),IF(ISNUMBER(SEARCH(TEXT(Z$7,"yyyy-mm-dd"),TAREAS!$J$31)),IF(TAREAS!$I$31="Registro Git","R",IF(TAREAS!$I$31="Despliegue documentado","D","L")),""))</f>
        <v/>
      </c>
      <c r="AA32" s="14" t="str">
        <f>IF(TAREAS!$I$31="Propuesta",IF(AND(AA$7&gt;=TAREAS!$G$31,AA$7&lt;=TAREAS!$H$31,CALENDARIO!$C$31=1),"P",""),IF(ISNUMBER(SEARCH(TEXT(AA$7,"yyyy-mm-dd"),TAREAS!$J$31)),IF(TAREAS!$I$31="Registro Git","R",IF(TAREAS!$I$31="Despliegue documentado","D","L")),""))</f>
        <v/>
      </c>
      <c r="AB32" s="14" t="str">
        <f>IF(TAREAS!$I$31="Propuesta",IF(AND(AB$7&gt;=TAREAS!$G$31,AB$7&lt;=TAREAS!$H$31,CALENDARIO!$C$32=1),"P",""),IF(ISNUMBER(SEARCH(TEXT(AB$7,"yyyy-mm-dd"),TAREAS!$J$31)),IF(TAREAS!$I$31="Registro Git","R",IF(TAREAS!$I$31="Despliegue documentado","D","L")),""))</f>
        <v/>
      </c>
      <c r="AC32" s="14" t="str">
        <f>IF(TAREAS!$I$31="Propuesta",IF(AND(AC$7&gt;=TAREAS!$G$31,AC$7&lt;=TAREAS!$H$31,CALENDARIO!$C$33=1),"P",""),IF(ISNUMBER(SEARCH(TEXT(AC$7,"yyyy-mm-dd"),TAREAS!$J$31)),IF(TAREAS!$I$31="Registro Git","R",IF(TAREAS!$I$31="Despliegue documentado","D","L")),""))</f>
        <v/>
      </c>
      <c r="AD32" s="15" t="str">
        <f>IF(TAREAS!$I$31="Propuesta",IF(AND(AD$7&gt;=TAREAS!$G$31,AD$7&lt;=TAREAS!$H$31,CALENDARIO!$C$34=1),"P",""),IF(ISNUMBER(SEARCH(TEXT(AD$7,"yyyy-mm-dd"),TAREAS!$J$31)),IF(TAREAS!$I$31="Registro Git","R",IF(TAREAS!$I$31="Despliegue documentado","D","L")),""))</f>
        <v/>
      </c>
      <c r="AE32" s="15" t="str">
        <f>IF(TAREAS!$I$31="Propuesta",IF(AND(AE$7&gt;=TAREAS!$G$31,AE$7&lt;=TAREAS!$H$31,CALENDARIO!$C$35=1),"P",""),IF(ISNUMBER(SEARCH(TEXT(AE$7,"yyyy-mm-dd"),TAREAS!$J$31)),IF(TAREAS!$I$31="Registro Git","R",IF(TAREAS!$I$31="Despliegue documentado","D","L")),""))</f>
        <v/>
      </c>
      <c r="AF32" s="14" t="str">
        <f>IF(TAREAS!$I$31="Propuesta",IF(AND(AF$7&gt;=TAREAS!$G$31,AF$7&lt;=TAREAS!$H$31,CALENDARIO!$C$36=1),"P",""),IF(ISNUMBER(SEARCH(TEXT(AF$7,"yyyy-mm-dd"),TAREAS!$J$31)),IF(TAREAS!$I$31="Registro Git","R",IF(TAREAS!$I$31="Despliegue documentado","D","L")),""))</f>
        <v/>
      </c>
      <c r="AG32" s="14" t="str">
        <f>IF(TAREAS!$I$31="Propuesta",IF(AND(AG$7&gt;=TAREAS!$G$31,AG$7&lt;=TAREAS!$H$31,CALENDARIO!$C$37=1),"P",""),IF(ISNUMBER(SEARCH(TEXT(AG$7,"yyyy-mm-dd"),TAREAS!$J$31)),IF(TAREAS!$I$31="Registro Git","R",IF(TAREAS!$I$31="Despliegue documentado","D","L")),""))</f>
        <v/>
      </c>
      <c r="AH32" s="14" t="str">
        <f>IF(TAREAS!$I$31="Propuesta",IF(AND(AH$7&gt;=TAREAS!$G$31,AH$7&lt;=TAREAS!$H$31,CALENDARIO!$C$38=1),"P",""),IF(ISNUMBER(SEARCH(TEXT(AH$7,"yyyy-mm-dd"),TAREAS!$J$31)),IF(TAREAS!$I$31="Registro Git","R",IF(TAREAS!$I$31="Despliegue documentado","D","L")),""))</f>
        <v/>
      </c>
    </row>
    <row r="33" spans="1:34" ht="72" customHeight="1" x14ac:dyDescent="0.25">
      <c r="A33" s="16" t="str">
        <f>TAREAS!C32</f>
        <v>HU-G09 · Como equipo, queremos requisitos y planificación trazables.</v>
      </c>
      <c r="B33" s="12" t="str">
        <f>TAREAS!A32&amp;" · "&amp;TAREAS!D32</f>
        <v>T-028 · Actualización de RF/RNF, 22 secuencias y matriz</v>
      </c>
      <c r="C33" s="12" t="str">
        <f>TAREAS!F32</f>
        <v>Por confirmar</v>
      </c>
      <c r="D33" s="13">
        <f t="shared" si="0"/>
        <v>1</v>
      </c>
      <c r="E33" s="14" t="str">
        <f>IF(TAREAS!$I$32="Propuesta",IF(AND(E$7&gt;=TAREAS!$G$32,E$7&lt;=TAREAS!$H$32,CALENDARIO!$C$9=1),"P",""),IF(ISNUMBER(SEARCH(TEXT(E$7,"yyyy-mm-dd"),TAREAS!$J$32)),IF(TAREAS!$I$32="Registro Git","R",IF(TAREAS!$I$32="Despliegue documentado","D","L")),""))</f>
        <v/>
      </c>
      <c r="F33" s="14" t="str">
        <f>IF(TAREAS!$I$32="Propuesta",IF(AND(F$7&gt;=TAREAS!$G$32,F$7&lt;=TAREAS!$H$32,CALENDARIO!$C$10=1),"P",""),IF(ISNUMBER(SEARCH(TEXT(F$7,"yyyy-mm-dd"),TAREAS!$J$32)),IF(TAREAS!$I$32="Registro Git","R",IF(TAREAS!$I$32="Despliegue documentado","D","L")),""))</f>
        <v/>
      </c>
      <c r="G33" s="14" t="str">
        <f>IF(TAREAS!$I$32="Propuesta",IF(AND(G$7&gt;=TAREAS!$G$32,G$7&lt;=TAREAS!$H$32,CALENDARIO!$C$11=1),"P",""),IF(ISNUMBER(SEARCH(TEXT(G$7,"yyyy-mm-dd"),TAREAS!$J$32)),IF(TAREAS!$I$32="Registro Git","R",IF(TAREAS!$I$32="Despliegue documentado","D","L")),""))</f>
        <v/>
      </c>
      <c r="H33" s="14" t="str">
        <f>IF(TAREAS!$I$32="Propuesta",IF(AND(H$7&gt;=TAREAS!$G$32,H$7&lt;=TAREAS!$H$32,CALENDARIO!$C$12=1),"P",""),IF(ISNUMBER(SEARCH(TEXT(H$7,"yyyy-mm-dd"),TAREAS!$J$32)),IF(TAREAS!$I$32="Registro Git","R",IF(TAREAS!$I$32="Despliegue documentado","D","L")),""))</f>
        <v/>
      </c>
      <c r="I33" s="15" t="str">
        <f>IF(TAREAS!$I$32="Propuesta",IF(AND(I$7&gt;=TAREAS!$G$32,I$7&lt;=TAREAS!$H$32,CALENDARIO!$C$13=1),"P",""),IF(ISNUMBER(SEARCH(TEXT(I$7,"yyyy-mm-dd"),TAREAS!$J$32)),IF(TAREAS!$I$32="Registro Git","R",IF(TAREAS!$I$32="Despliegue documentado","D","L")),""))</f>
        <v/>
      </c>
      <c r="J33" s="15" t="str">
        <f>IF(TAREAS!$I$32="Propuesta",IF(AND(J$7&gt;=TAREAS!$G$32,J$7&lt;=TAREAS!$H$32,CALENDARIO!$C$14=1),"P",""),IF(ISNUMBER(SEARCH(TEXT(J$7,"yyyy-mm-dd"),TAREAS!$J$32)),IF(TAREAS!$I$32="Registro Git","R",IF(TAREAS!$I$32="Despliegue documentado","D","L")),""))</f>
        <v/>
      </c>
      <c r="K33" s="14" t="str">
        <f>IF(TAREAS!$I$32="Propuesta",IF(AND(K$7&gt;=TAREAS!$G$32,K$7&lt;=TAREAS!$H$32,CALENDARIO!$C$15=1),"P",""),IF(ISNUMBER(SEARCH(TEXT(K$7,"yyyy-mm-dd"),TAREAS!$J$32)),IF(TAREAS!$I$32="Registro Git","R",IF(TAREAS!$I$32="Despliegue documentado","D","L")),""))</f>
        <v/>
      </c>
      <c r="L33" s="14" t="str">
        <f>IF(TAREAS!$I$32="Propuesta",IF(AND(L$7&gt;=TAREAS!$G$32,L$7&lt;=TAREAS!$H$32,CALENDARIO!$C$16=1),"P",""),IF(ISNUMBER(SEARCH(TEXT(L$7,"yyyy-mm-dd"),TAREAS!$J$32)),IF(TAREAS!$I$32="Registro Git","R",IF(TAREAS!$I$32="Despliegue documentado","D","L")),""))</f>
        <v/>
      </c>
      <c r="M33" s="14" t="str">
        <f>IF(TAREAS!$I$32="Propuesta",IF(AND(M$7&gt;=TAREAS!$G$32,M$7&lt;=TAREAS!$H$32,CALENDARIO!$C$17=1),"P",""),IF(ISNUMBER(SEARCH(TEXT(M$7,"yyyy-mm-dd"),TAREAS!$J$32)),IF(TAREAS!$I$32="Registro Git","R",IF(TAREAS!$I$32="Despliegue documentado","D","L")),""))</f>
        <v/>
      </c>
      <c r="N33" s="14" t="str">
        <f>IF(TAREAS!$I$32="Propuesta",IF(AND(N$7&gt;=TAREAS!$G$32,N$7&lt;=TAREAS!$H$32,CALENDARIO!$C$18=1),"P",""),IF(ISNUMBER(SEARCH(TEXT(N$7,"yyyy-mm-dd"),TAREAS!$J$32)),IF(TAREAS!$I$32="Registro Git","R",IF(TAREAS!$I$32="Despliegue documentado","D","L")),""))</f>
        <v/>
      </c>
      <c r="O33" s="14" t="str">
        <f>IF(TAREAS!$I$32="Propuesta",IF(AND(O$7&gt;=TAREAS!$G$32,O$7&lt;=TAREAS!$H$32,CALENDARIO!$C$19=1),"P",""),IF(ISNUMBER(SEARCH(TEXT(O$7,"yyyy-mm-dd"),TAREAS!$J$32)),IF(TAREAS!$I$32="Registro Git","R",IF(TAREAS!$I$32="Despliegue documentado","D","L")),""))</f>
        <v/>
      </c>
      <c r="P33" s="15" t="str">
        <f>IF(TAREAS!$I$32="Propuesta",IF(AND(P$7&gt;=TAREAS!$G$32,P$7&lt;=TAREAS!$H$32,CALENDARIO!$C$20=1),"P",""),IF(ISNUMBER(SEARCH(TEXT(P$7,"yyyy-mm-dd"),TAREAS!$J$32)),IF(TAREAS!$I$32="Registro Git","R",IF(TAREAS!$I$32="Despliegue documentado","D","L")),""))</f>
        <v/>
      </c>
      <c r="Q33" s="15" t="str">
        <f>IF(TAREAS!$I$32="Propuesta",IF(AND(Q$7&gt;=TAREAS!$G$32,Q$7&lt;=TAREAS!$H$32,CALENDARIO!$C$21=1),"P",""),IF(ISNUMBER(SEARCH(TEXT(Q$7,"yyyy-mm-dd"),TAREAS!$J$32)),IF(TAREAS!$I$32="Registro Git","R",IF(TAREAS!$I$32="Despliegue documentado","D","L")),""))</f>
        <v/>
      </c>
      <c r="R33" s="14" t="str">
        <f>IF(TAREAS!$I$32="Propuesta",IF(AND(R$7&gt;=TAREAS!$G$32,R$7&lt;=TAREAS!$H$32,CALENDARIO!$C$22=1),"P",""),IF(ISNUMBER(SEARCH(TEXT(R$7,"yyyy-mm-dd"),TAREAS!$J$32)),IF(TAREAS!$I$32="Registro Git","R",IF(TAREAS!$I$32="Despliegue documentado","D","L")),""))</f>
        <v/>
      </c>
      <c r="S33" s="14" t="str">
        <f>IF(TAREAS!$I$32="Propuesta",IF(AND(S$7&gt;=TAREAS!$G$32,S$7&lt;=TAREAS!$H$32,CALENDARIO!$C$23=1),"P",""),IF(ISNUMBER(SEARCH(TEXT(S$7,"yyyy-mm-dd"),TAREAS!$J$32)),IF(TAREAS!$I$32="Registro Git","R",IF(TAREAS!$I$32="Despliegue documentado","D","L")),""))</f>
        <v/>
      </c>
      <c r="T33" s="14" t="str">
        <f>IF(TAREAS!$I$32="Propuesta",IF(AND(T$7&gt;=TAREAS!$G$32,T$7&lt;=TAREAS!$H$32,CALENDARIO!$C$24=1),"P",""),IF(ISNUMBER(SEARCH(TEXT(T$7,"yyyy-mm-dd"),TAREAS!$J$32)),IF(TAREAS!$I$32="Registro Git","R",IF(TAREAS!$I$32="Despliegue documentado","D","L")),""))</f>
        <v/>
      </c>
      <c r="U33" s="14" t="str">
        <f>IF(TAREAS!$I$32="Propuesta",IF(AND(U$7&gt;=TAREAS!$G$32,U$7&lt;=TAREAS!$H$32,CALENDARIO!$C$25=1),"P",""),IF(ISNUMBER(SEARCH(TEXT(U$7,"yyyy-mm-dd"),TAREAS!$J$32)),IF(TAREAS!$I$32="Registro Git","R",IF(TAREAS!$I$32="Despliegue documentado","D","L")),""))</f>
        <v/>
      </c>
      <c r="V33" s="14" t="str">
        <f>IF(TAREAS!$I$32="Propuesta",IF(AND(V$7&gt;=TAREAS!$G$32,V$7&lt;=TAREAS!$H$32,CALENDARIO!$C$26=1),"P",""),IF(ISNUMBER(SEARCH(TEXT(V$7,"yyyy-mm-dd"),TAREAS!$J$32)),IF(TAREAS!$I$32="Registro Git","R",IF(TAREAS!$I$32="Despliegue documentado","D","L")),""))</f>
        <v/>
      </c>
      <c r="W33" s="15" t="str">
        <f>IF(TAREAS!$I$32="Propuesta",IF(AND(W$7&gt;=TAREAS!$G$32,W$7&lt;=TAREAS!$H$32,CALENDARIO!$C$27=1),"P",""),IF(ISNUMBER(SEARCH(TEXT(W$7,"yyyy-mm-dd"),TAREAS!$J$32)),IF(TAREAS!$I$32="Registro Git","R",IF(TAREAS!$I$32="Despliegue documentado","D","L")),""))</f>
        <v/>
      </c>
      <c r="X33" s="15" t="str">
        <f>IF(TAREAS!$I$32="Propuesta",IF(AND(X$7&gt;=TAREAS!$G$32,X$7&lt;=TAREAS!$H$32,CALENDARIO!$C$28=1),"P",""),IF(ISNUMBER(SEARCH(TEXT(X$7,"yyyy-mm-dd"),TAREAS!$J$32)),IF(TAREAS!$I$32="Registro Git","R",IF(TAREAS!$I$32="Despliegue documentado","D","L")),""))</f>
        <v/>
      </c>
      <c r="Y33" s="14" t="str">
        <f>IF(TAREAS!$I$32="Propuesta",IF(AND(Y$7&gt;=TAREAS!$G$32,Y$7&lt;=TAREAS!$H$32,CALENDARIO!$C$29=1),"P",""),IF(ISNUMBER(SEARCH(TEXT(Y$7,"yyyy-mm-dd"),TAREAS!$J$32)),IF(TAREAS!$I$32="Registro Git","R",IF(TAREAS!$I$32="Despliegue documentado","D","L")),""))</f>
        <v/>
      </c>
      <c r="Z33" s="14" t="str">
        <f>IF(TAREAS!$I$32="Propuesta",IF(AND(Z$7&gt;=TAREAS!$G$32,Z$7&lt;=TAREAS!$H$32,CALENDARIO!$C$30=1),"P",""),IF(ISNUMBER(SEARCH(TEXT(Z$7,"yyyy-mm-dd"),TAREAS!$J$32)),IF(TAREAS!$I$32="Registro Git","R",IF(TAREAS!$I$32="Despliegue documentado","D","L")),""))</f>
        <v>L</v>
      </c>
      <c r="AA33" s="14" t="str">
        <f>IF(TAREAS!$I$32="Propuesta",IF(AND(AA$7&gt;=TAREAS!$G$32,AA$7&lt;=TAREAS!$H$32,CALENDARIO!$C$31=1),"P",""),IF(ISNUMBER(SEARCH(TEXT(AA$7,"yyyy-mm-dd"),TAREAS!$J$32)),IF(TAREAS!$I$32="Registro Git","R",IF(TAREAS!$I$32="Despliegue documentado","D","L")),""))</f>
        <v/>
      </c>
      <c r="AB33" s="14" t="str">
        <f>IF(TAREAS!$I$32="Propuesta",IF(AND(AB$7&gt;=TAREAS!$G$32,AB$7&lt;=TAREAS!$H$32,CALENDARIO!$C$32=1),"P",""),IF(ISNUMBER(SEARCH(TEXT(AB$7,"yyyy-mm-dd"),TAREAS!$J$32)),IF(TAREAS!$I$32="Registro Git","R",IF(TAREAS!$I$32="Despliegue documentado","D","L")),""))</f>
        <v/>
      </c>
      <c r="AC33" s="14" t="str">
        <f>IF(TAREAS!$I$32="Propuesta",IF(AND(AC$7&gt;=TAREAS!$G$32,AC$7&lt;=TAREAS!$H$32,CALENDARIO!$C$33=1),"P",""),IF(ISNUMBER(SEARCH(TEXT(AC$7,"yyyy-mm-dd"),TAREAS!$J$32)),IF(TAREAS!$I$32="Registro Git","R",IF(TAREAS!$I$32="Despliegue documentado","D","L")),""))</f>
        <v/>
      </c>
      <c r="AD33" s="15" t="str">
        <f>IF(TAREAS!$I$32="Propuesta",IF(AND(AD$7&gt;=TAREAS!$G$32,AD$7&lt;=TAREAS!$H$32,CALENDARIO!$C$34=1),"P",""),IF(ISNUMBER(SEARCH(TEXT(AD$7,"yyyy-mm-dd"),TAREAS!$J$32)),IF(TAREAS!$I$32="Registro Git","R",IF(TAREAS!$I$32="Despliegue documentado","D","L")),""))</f>
        <v/>
      </c>
      <c r="AE33" s="15" t="str">
        <f>IF(TAREAS!$I$32="Propuesta",IF(AND(AE$7&gt;=TAREAS!$G$32,AE$7&lt;=TAREAS!$H$32,CALENDARIO!$C$35=1),"P",""),IF(ISNUMBER(SEARCH(TEXT(AE$7,"yyyy-mm-dd"),TAREAS!$J$32)),IF(TAREAS!$I$32="Registro Git","R",IF(TAREAS!$I$32="Despliegue documentado","D","L")),""))</f>
        <v/>
      </c>
      <c r="AF33" s="14" t="str">
        <f>IF(TAREAS!$I$32="Propuesta",IF(AND(AF$7&gt;=TAREAS!$G$32,AF$7&lt;=TAREAS!$H$32,CALENDARIO!$C$36=1),"P",""),IF(ISNUMBER(SEARCH(TEXT(AF$7,"yyyy-mm-dd"),TAREAS!$J$32)),IF(TAREAS!$I$32="Registro Git","R",IF(TAREAS!$I$32="Despliegue documentado","D","L")),""))</f>
        <v/>
      </c>
      <c r="AG33" s="14" t="str">
        <f>IF(TAREAS!$I$32="Propuesta",IF(AND(AG$7&gt;=TAREAS!$G$32,AG$7&lt;=TAREAS!$H$32,CALENDARIO!$C$37=1),"P",""),IF(ISNUMBER(SEARCH(TEXT(AG$7,"yyyy-mm-dd"),TAREAS!$J$32)),IF(TAREAS!$I$32="Registro Git","R",IF(TAREAS!$I$32="Despliegue documentado","D","L")),""))</f>
        <v/>
      </c>
      <c r="AH33" s="14" t="str">
        <f>IF(TAREAS!$I$32="Propuesta",IF(AND(AH$7&gt;=TAREAS!$G$32,AH$7&lt;=TAREAS!$H$32,CALENDARIO!$C$38=1),"P",""),IF(ISNUMBER(SEARCH(TEXT(AH$7,"yyyy-mm-dd"),TAREAS!$J$32)),IF(TAREAS!$I$32="Registro Git","R",IF(TAREAS!$I$32="Despliegue documentado","D","L")),""))</f>
        <v/>
      </c>
    </row>
    <row r="34" spans="1:34" ht="72" customHeight="1" x14ac:dyDescent="0.25">
      <c r="A34" s="16" t="str">
        <f>TAREAS!C33</f>
        <v>HU-G09 · Como equipo, queremos requisitos y planificación trazables.</v>
      </c>
      <c r="B34" s="12" t="str">
        <f>TAREAS!A33&amp;" · "&amp;TAREAS!D33</f>
        <v>T-029 · Revisar alcance, responsables y catálogo vigente de áreas</v>
      </c>
      <c r="C34" s="12" t="str">
        <f>TAREAS!F33</f>
        <v>Dirección + Sistemas</v>
      </c>
      <c r="D34" s="13">
        <f t="shared" si="0"/>
        <v>2</v>
      </c>
      <c r="E34" s="14" t="str">
        <f>IF(TAREAS!$I$33="Propuesta",IF(AND(E$7&gt;=TAREAS!$G$33,E$7&lt;=TAREAS!$H$33,CALENDARIO!$C$9=1),"P",""),IF(ISNUMBER(SEARCH(TEXT(E$7,"yyyy-mm-dd"),TAREAS!$J$33)),IF(TAREAS!$I$33="Registro Git","R",IF(TAREAS!$I$33="Despliegue documentado","D","L")),""))</f>
        <v/>
      </c>
      <c r="F34" s="14" t="str">
        <f>IF(TAREAS!$I$33="Propuesta",IF(AND(F$7&gt;=TAREAS!$G$33,F$7&lt;=TAREAS!$H$33,CALENDARIO!$C$10=1),"P",""),IF(ISNUMBER(SEARCH(TEXT(F$7,"yyyy-mm-dd"),TAREAS!$J$33)),IF(TAREAS!$I$33="Registro Git","R",IF(TAREAS!$I$33="Despliegue documentado","D","L")),""))</f>
        <v/>
      </c>
      <c r="G34" s="14" t="str">
        <f>IF(TAREAS!$I$33="Propuesta",IF(AND(G$7&gt;=TAREAS!$G$33,G$7&lt;=TAREAS!$H$33,CALENDARIO!$C$11=1),"P",""),IF(ISNUMBER(SEARCH(TEXT(G$7,"yyyy-mm-dd"),TAREAS!$J$33)),IF(TAREAS!$I$33="Registro Git","R",IF(TAREAS!$I$33="Despliegue documentado","D","L")),""))</f>
        <v/>
      </c>
      <c r="H34" s="14" t="str">
        <f>IF(TAREAS!$I$33="Propuesta",IF(AND(H$7&gt;=TAREAS!$G$33,H$7&lt;=TAREAS!$H$33,CALENDARIO!$C$12=1),"P",""),IF(ISNUMBER(SEARCH(TEXT(H$7,"yyyy-mm-dd"),TAREAS!$J$33)),IF(TAREAS!$I$33="Registro Git","R",IF(TAREAS!$I$33="Despliegue documentado","D","L")),""))</f>
        <v/>
      </c>
      <c r="I34" s="15" t="str">
        <f>IF(TAREAS!$I$33="Propuesta",IF(AND(I$7&gt;=TAREAS!$G$33,I$7&lt;=TAREAS!$H$33,CALENDARIO!$C$13=1),"P",""),IF(ISNUMBER(SEARCH(TEXT(I$7,"yyyy-mm-dd"),TAREAS!$J$33)),IF(TAREAS!$I$33="Registro Git","R",IF(TAREAS!$I$33="Despliegue documentado","D","L")),""))</f>
        <v/>
      </c>
      <c r="J34" s="15" t="str">
        <f>IF(TAREAS!$I$33="Propuesta",IF(AND(J$7&gt;=TAREAS!$G$33,J$7&lt;=TAREAS!$H$33,CALENDARIO!$C$14=1),"P",""),IF(ISNUMBER(SEARCH(TEXT(J$7,"yyyy-mm-dd"),TAREAS!$J$33)),IF(TAREAS!$I$33="Registro Git","R",IF(TAREAS!$I$33="Despliegue documentado","D","L")),""))</f>
        <v/>
      </c>
      <c r="K34" s="14" t="str">
        <f>IF(TAREAS!$I$33="Propuesta",IF(AND(K$7&gt;=TAREAS!$G$33,K$7&lt;=TAREAS!$H$33,CALENDARIO!$C$15=1),"P",""),IF(ISNUMBER(SEARCH(TEXT(K$7,"yyyy-mm-dd"),TAREAS!$J$33)),IF(TAREAS!$I$33="Registro Git","R",IF(TAREAS!$I$33="Despliegue documentado","D","L")),""))</f>
        <v/>
      </c>
      <c r="L34" s="14" t="str">
        <f>IF(TAREAS!$I$33="Propuesta",IF(AND(L$7&gt;=TAREAS!$G$33,L$7&lt;=TAREAS!$H$33,CALENDARIO!$C$16=1),"P",""),IF(ISNUMBER(SEARCH(TEXT(L$7,"yyyy-mm-dd"),TAREAS!$J$33)),IF(TAREAS!$I$33="Registro Git","R",IF(TAREAS!$I$33="Despliegue documentado","D","L")),""))</f>
        <v/>
      </c>
      <c r="M34" s="14" t="str">
        <f>IF(TAREAS!$I$33="Propuesta",IF(AND(M$7&gt;=TAREAS!$G$33,M$7&lt;=TAREAS!$H$33,CALENDARIO!$C$17=1),"P",""),IF(ISNUMBER(SEARCH(TEXT(M$7,"yyyy-mm-dd"),TAREAS!$J$33)),IF(TAREAS!$I$33="Registro Git","R",IF(TAREAS!$I$33="Despliegue documentado","D","L")),""))</f>
        <v/>
      </c>
      <c r="N34" s="14" t="str">
        <f>IF(TAREAS!$I$33="Propuesta",IF(AND(N$7&gt;=TAREAS!$G$33,N$7&lt;=TAREAS!$H$33,CALENDARIO!$C$18=1),"P",""),IF(ISNUMBER(SEARCH(TEXT(N$7,"yyyy-mm-dd"),TAREAS!$J$33)),IF(TAREAS!$I$33="Registro Git","R",IF(TAREAS!$I$33="Despliegue documentado","D","L")),""))</f>
        <v/>
      </c>
      <c r="O34" s="14" t="str">
        <f>IF(TAREAS!$I$33="Propuesta",IF(AND(O$7&gt;=TAREAS!$G$33,O$7&lt;=TAREAS!$H$33,CALENDARIO!$C$19=1),"P",""),IF(ISNUMBER(SEARCH(TEXT(O$7,"yyyy-mm-dd"),TAREAS!$J$33)),IF(TAREAS!$I$33="Registro Git","R",IF(TAREAS!$I$33="Despliegue documentado","D","L")),""))</f>
        <v/>
      </c>
      <c r="P34" s="15" t="str">
        <f>IF(TAREAS!$I$33="Propuesta",IF(AND(P$7&gt;=TAREAS!$G$33,P$7&lt;=TAREAS!$H$33,CALENDARIO!$C$20=1),"P",""),IF(ISNUMBER(SEARCH(TEXT(P$7,"yyyy-mm-dd"),TAREAS!$J$33)),IF(TAREAS!$I$33="Registro Git","R",IF(TAREAS!$I$33="Despliegue documentado","D","L")),""))</f>
        <v/>
      </c>
      <c r="Q34" s="15" t="str">
        <f>IF(TAREAS!$I$33="Propuesta",IF(AND(Q$7&gt;=TAREAS!$G$33,Q$7&lt;=TAREAS!$H$33,CALENDARIO!$C$21=1),"P",""),IF(ISNUMBER(SEARCH(TEXT(Q$7,"yyyy-mm-dd"),TAREAS!$J$33)),IF(TAREAS!$I$33="Registro Git","R",IF(TAREAS!$I$33="Despliegue documentado","D","L")),""))</f>
        <v/>
      </c>
      <c r="R34" s="14" t="str">
        <f>IF(TAREAS!$I$33="Propuesta",IF(AND(R$7&gt;=TAREAS!$G$33,R$7&lt;=TAREAS!$H$33,CALENDARIO!$C$22=1),"P",""),IF(ISNUMBER(SEARCH(TEXT(R$7,"yyyy-mm-dd"),TAREAS!$J$33)),IF(TAREAS!$I$33="Registro Git","R",IF(TAREAS!$I$33="Despliegue documentado","D","L")),""))</f>
        <v/>
      </c>
      <c r="S34" s="14" t="str">
        <f>IF(TAREAS!$I$33="Propuesta",IF(AND(S$7&gt;=TAREAS!$G$33,S$7&lt;=TAREAS!$H$33,CALENDARIO!$C$23=1),"P",""),IF(ISNUMBER(SEARCH(TEXT(S$7,"yyyy-mm-dd"),TAREAS!$J$33)),IF(TAREAS!$I$33="Registro Git","R",IF(TAREAS!$I$33="Despliegue documentado","D","L")),""))</f>
        <v/>
      </c>
      <c r="T34" s="14" t="str">
        <f>IF(TAREAS!$I$33="Propuesta",IF(AND(T$7&gt;=TAREAS!$G$33,T$7&lt;=TAREAS!$H$33,CALENDARIO!$C$24=1),"P",""),IF(ISNUMBER(SEARCH(TEXT(T$7,"yyyy-mm-dd"),TAREAS!$J$33)),IF(TAREAS!$I$33="Registro Git","R",IF(TAREAS!$I$33="Despliegue documentado","D","L")),""))</f>
        <v/>
      </c>
      <c r="U34" s="14" t="str">
        <f>IF(TAREAS!$I$33="Propuesta",IF(AND(U$7&gt;=TAREAS!$G$33,U$7&lt;=TAREAS!$H$33,CALENDARIO!$C$25=1),"P",""),IF(ISNUMBER(SEARCH(TEXT(U$7,"yyyy-mm-dd"),TAREAS!$J$33)),IF(TAREAS!$I$33="Registro Git","R",IF(TAREAS!$I$33="Despliegue documentado","D","L")),""))</f>
        <v/>
      </c>
      <c r="V34" s="14" t="str">
        <f>IF(TAREAS!$I$33="Propuesta",IF(AND(V$7&gt;=TAREAS!$G$33,V$7&lt;=TAREAS!$H$33,CALENDARIO!$C$26=1),"P",""),IF(ISNUMBER(SEARCH(TEXT(V$7,"yyyy-mm-dd"),TAREAS!$J$33)),IF(TAREAS!$I$33="Registro Git","R",IF(TAREAS!$I$33="Despliegue documentado","D","L")),""))</f>
        <v/>
      </c>
      <c r="W34" s="15" t="str">
        <f>IF(TAREAS!$I$33="Propuesta",IF(AND(W$7&gt;=TAREAS!$G$33,W$7&lt;=TAREAS!$H$33,CALENDARIO!$C$27=1),"P",""),IF(ISNUMBER(SEARCH(TEXT(W$7,"yyyy-mm-dd"),TAREAS!$J$33)),IF(TAREAS!$I$33="Registro Git","R",IF(TAREAS!$I$33="Despliegue documentado","D","L")),""))</f>
        <v/>
      </c>
      <c r="X34" s="15" t="str">
        <f>IF(TAREAS!$I$33="Propuesta",IF(AND(X$7&gt;=TAREAS!$G$33,X$7&lt;=TAREAS!$H$33,CALENDARIO!$C$28=1),"P",""),IF(ISNUMBER(SEARCH(TEXT(X$7,"yyyy-mm-dd"),TAREAS!$J$33)),IF(TAREAS!$I$33="Registro Git","R",IF(TAREAS!$I$33="Despliegue documentado","D","L")),""))</f>
        <v/>
      </c>
      <c r="Y34" s="14" t="str">
        <f>IF(TAREAS!$I$33="Propuesta",IF(AND(Y$7&gt;=TAREAS!$G$33,Y$7&lt;=TAREAS!$H$33,CALENDARIO!$C$29=1),"P",""),IF(ISNUMBER(SEARCH(TEXT(Y$7,"yyyy-mm-dd"),TAREAS!$J$33)),IF(TAREAS!$I$33="Registro Git","R",IF(TAREAS!$I$33="Despliegue documentado","D","L")),""))</f>
        <v/>
      </c>
      <c r="Z34" s="14" t="str">
        <f>IF(TAREAS!$I$33="Propuesta",IF(AND(Z$7&gt;=TAREAS!$G$33,Z$7&lt;=TAREAS!$H$33,CALENDARIO!$C$30=1),"P",""),IF(ISNUMBER(SEARCH(TEXT(Z$7,"yyyy-mm-dd"),TAREAS!$J$33)),IF(TAREAS!$I$33="Registro Git","R",IF(TAREAS!$I$33="Despliegue documentado","D","L")),""))</f>
        <v/>
      </c>
      <c r="AA34" s="14" t="str">
        <f>IF(TAREAS!$I$33="Propuesta",IF(AND(AA$7&gt;=TAREAS!$G$33,AA$7&lt;=TAREAS!$H$33,CALENDARIO!$C$31=1),"P",""),IF(ISNUMBER(SEARCH(TEXT(AA$7,"yyyy-mm-dd"),TAREAS!$J$33)),IF(TAREAS!$I$33="Registro Git","R",IF(TAREAS!$I$33="Despliegue documentado","D","L")),""))</f>
        <v>P</v>
      </c>
      <c r="AB34" s="14" t="str">
        <f>IF(TAREAS!$I$33="Propuesta",IF(AND(AB$7&gt;=TAREAS!$G$33,AB$7&lt;=TAREAS!$H$33,CALENDARIO!$C$32=1),"P",""),IF(ISNUMBER(SEARCH(TEXT(AB$7,"yyyy-mm-dd"),TAREAS!$J$33)),IF(TAREAS!$I$33="Registro Git","R",IF(TAREAS!$I$33="Despliegue documentado","D","L")),""))</f>
        <v>P</v>
      </c>
      <c r="AC34" s="14" t="str">
        <f>IF(TAREAS!$I$33="Propuesta",IF(AND(AC$7&gt;=TAREAS!$G$33,AC$7&lt;=TAREAS!$H$33,CALENDARIO!$C$33=1),"P",""),IF(ISNUMBER(SEARCH(TEXT(AC$7,"yyyy-mm-dd"),TAREAS!$J$33)),IF(TAREAS!$I$33="Registro Git","R",IF(TAREAS!$I$33="Despliegue documentado","D","L")),""))</f>
        <v/>
      </c>
      <c r="AD34" s="15" t="str">
        <f>IF(TAREAS!$I$33="Propuesta",IF(AND(AD$7&gt;=TAREAS!$G$33,AD$7&lt;=TAREAS!$H$33,CALENDARIO!$C$34=1),"P",""),IF(ISNUMBER(SEARCH(TEXT(AD$7,"yyyy-mm-dd"),TAREAS!$J$33)),IF(TAREAS!$I$33="Registro Git","R",IF(TAREAS!$I$33="Despliegue documentado","D","L")),""))</f>
        <v/>
      </c>
      <c r="AE34" s="15" t="str">
        <f>IF(TAREAS!$I$33="Propuesta",IF(AND(AE$7&gt;=TAREAS!$G$33,AE$7&lt;=TAREAS!$H$33,CALENDARIO!$C$35=1),"P",""),IF(ISNUMBER(SEARCH(TEXT(AE$7,"yyyy-mm-dd"),TAREAS!$J$33)),IF(TAREAS!$I$33="Registro Git","R",IF(TAREAS!$I$33="Despliegue documentado","D","L")),""))</f>
        <v/>
      </c>
      <c r="AF34" s="14" t="str">
        <f>IF(TAREAS!$I$33="Propuesta",IF(AND(AF$7&gt;=TAREAS!$G$33,AF$7&lt;=TAREAS!$H$33,CALENDARIO!$C$36=1),"P",""),IF(ISNUMBER(SEARCH(TEXT(AF$7,"yyyy-mm-dd"),TAREAS!$J$33)),IF(TAREAS!$I$33="Registro Git","R",IF(TAREAS!$I$33="Despliegue documentado","D","L")),""))</f>
        <v/>
      </c>
      <c r="AG34" s="14" t="str">
        <f>IF(TAREAS!$I$33="Propuesta",IF(AND(AG$7&gt;=TAREAS!$G$33,AG$7&lt;=TAREAS!$H$33,CALENDARIO!$C$37=1),"P",""),IF(ISNUMBER(SEARCH(TEXT(AG$7,"yyyy-mm-dd"),TAREAS!$J$33)),IF(TAREAS!$I$33="Registro Git","R",IF(TAREAS!$I$33="Despliegue documentado","D","L")),""))</f>
        <v/>
      </c>
      <c r="AH34" s="14" t="str">
        <f>IF(TAREAS!$I$33="Propuesta",IF(AND(AH$7&gt;=TAREAS!$G$33,AH$7&lt;=TAREAS!$H$33,CALENDARIO!$C$38=1),"P",""),IF(ISNUMBER(SEARCH(TEXT(AH$7,"yyyy-mm-dd"),TAREAS!$J$33)),IF(TAREAS!$I$33="Registro Git","R",IF(TAREAS!$I$33="Despliegue documentado","D","L")),""))</f>
        <v/>
      </c>
    </row>
    <row r="35" spans="1:34" ht="72" customHeight="1" x14ac:dyDescent="0.25">
      <c r="A35" s="16" t="str">
        <f>TAREAS!C34</f>
        <v>HU-G09 · Como equipo, queremos requisitos y planificación trazables.</v>
      </c>
      <c r="B35" s="12" t="str">
        <f>TAREAS!A34&amp;" · "&amp;TAREAS!D34</f>
        <v>T-030 · Formalizar H.U. y casos de uso; vincular al catálogo RF/RNF</v>
      </c>
      <c r="C35" s="12" t="str">
        <f>TAREAS!F34</f>
        <v>Sistemas + líderes</v>
      </c>
      <c r="D35" s="13">
        <f t="shared" si="0"/>
        <v>2</v>
      </c>
      <c r="E35" s="14" t="str">
        <f>IF(TAREAS!$I$34="Propuesta",IF(AND(E$7&gt;=TAREAS!$G$34,E$7&lt;=TAREAS!$H$34,CALENDARIO!$C$9=1),"P",""),IF(ISNUMBER(SEARCH(TEXT(E$7,"yyyy-mm-dd"),TAREAS!$J$34)),IF(TAREAS!$I$34="Registro Git","R",IF(TAREAS!$I$34="Despliegue documentado","D","L")),""))</f>
        <v/>
      </c>
      <c r="F35" s="14" t="str">
        <f>IF(TAREAS!$I$34="Propuesta",IF(AND(F$7&gt;=TAREAS!$G$34,F$7&lt;=TAREAS!$H$34,CALENDARIO!$C$10=1),"P",""),IF(ISNUMBER(SEARCH(TEXT(F$7,"yyyy-mm-dd"),TAREAS!$J$34)),IF(TAREAS!$I$34="Registro Git","R",IF(TAREAS!$I$34="Despliegue documentado","D","L")),""))</f>
        <v/>
      </c>
      <c r="G35" s="14" t="str">
        <f>IF(TAREAS!$I$34="Propuesta",IF(AND(G$7&gt;=TAREAS!$G$34,G$7&lt;=TAREAS!$H$34,CALENDARIO!$C$11=1),"P",""),IF(ISNUMBER(SEARCH(TEXT(G$7,"yyyy-mm-dd"),TAREAS!$J$34)),IF(TAREAS!$I$34="Registro Git","R",IF(TAREAS!$I$34="Despliegue documentado","D","L")),""))</f>
        <v/>
      </c>
      <c r="H35" s="14" t="str">
        <f>IF(TAREAS!$I$34="Propuesta",IF(AND(H$7&gt;=TAREAS!$G$34,H$7&lt;=TAREAS!$H$34,CALENDARIO!$C$12=1),"P",""),IF(ISNUMBER(SEARCH(TEXT(H$7,"yyyy-mm-dd"),TAREAS!$J$34)),IF(TAREAS!$I$34="Registro Git","R",IF(TAREAS!$I$34="Despliegue documentado","D","L")),""))</f>
        <v/>
      </c>
      <c r="I35" s="15" t="str">
        <f>IF(TAREAS!$I$34="Propuesta",IF(AND(I$7&gt;=TAREAS!$G$34,I$7&lt;=TAREAS!$H$34,CALENDARIO!$C$13=1),"P",""),IF(ISNUMBER(SEARCH(TEXT(I$7,"yyyy-mm-dd"),TAREAS!$J$34)),IF(TAREAS!$I$34="Registro Git","R",IF(TAREAS!$I$34="Despliegue documentado","D","L")),""))</f>
        <v/>
      </c>
      <c r="J35" s="15" t="str">
        <f>IF(TAREAS!$I$34="Propuesta",IF(AND(J$7&gt;=TAREAS!$G$34,J$7&lt;=TAREAS!$H$34,CALENDARIO!$C$14=1),"P",""),IF(ISNUMBER(SEARCH(TEXT(J$7,"yyyy-mm-dd"),TAREAS!$J$34)),IF(TAREAS!$I$34="Registro Git","R",IF(TAREAS!$I$34="Despliegue documentado","D","L")),""))</f>
        <v/>
      </c>
      <c r="K35" s="14" t="str">
        <f>IF(TAREAS!$I$34="Propuesta",IF(AND(K$7&gt;=TAREAS!$G$34,K$7&lt;=TAREAS!$H$34,CALENDARIO!$C$15=1),"P",""),IF(ISNUMBER(SEARCH(TEXT(K$7,"yyyy-mm-dd"),TAREAS!$J$34)),IF(TAREAS!$I$34="Registro Git","R",IF(TAREAS!$I$34="Despliegue documentado","D","L")),""))</f>
        <v/>
      </c>
      <c r="L35" s="14" t="str">
        <f>IF(TAREAS!$I$34="Propuesta",IF(AND(L$7&gt;=TAREAS!$G$34,L$7&lt;=TAREAS!$H$34,CALENDARIO!$C$16=1),"P",""),IF(ISNUMBER(SEARCH(TEXT(L$7,"yyyy-mm-dd"),TAREAS!$J$34)),IF(TAREAS!$I$34="Registro Git","R",IF(TAREAS!$I$34="Despliegue documentado","D","L")),""))</f>
        <v/>
      </c>
      <c r="M35" s="14" t="str">
        <f>IF(TAREAS!$I$34="Propuesta",IF(AND(M$7&gt;=TAREAS!$G$34,M$7&lt;=TAREAS!$H$34,CALENDARIO!$C$17=1),"P",""),IF(ISNUMBER(SEARCH(TEXT(M$7,"yyyy-mm-dd"),TAREAS!$J$34)),IF(TAREAS!$I$34="Registro Git","R",IF(TAREAS!$I$34="Despliegue documentado","D","L")),""))</f>
        <v/>
      </c>
      <c r="N35" s="14" t="str">
        <f>IF(TAREAS!$I$34="Propuesta",IF(AND(N$7&gt;=TAREAS!$G$34,N$7&lt;=TAREAS!$H$34,CALENDARIO!$C$18=1),"P",""),IF(ISNUMBER(SEARCH(TEXT(N$7,"yyyy-mm-dd"),TAREAS!$J$34)),IF(TAREAS!$I$34="Registro Git","R",IF(TAREAS!$I$34="Despliegue documentado","D","L")),""))</f>
        <v/>
      </c>
      <c r="O35" s="14" t="str">
        <f>IF(TAREAS!$I$34="Propuesta",IF(AND(O$7&gt;=TAREAS!$G$34,O$7&lt;=TAREAS!$H$34,CALENDARIO!$C$19=1),"P",""),IF(ISNUMBER(SEARCH(TEXT(O$7,"yyyy-mm-dd"),TAREAS!$J$34)),IF(TAREAS!$I$34="Registro Git","R",IF(TAREAS!$I$34="Despliegue documentado","D","L")),""))</f>
        <v/>
      </c>
      <c r="P35" s="15" t="str">
        <f>IF(TAREAS!$I$34="Propuesta",IF(AND(P$7&gt;=TAREAS!$G$34,P$7&lt;=TAREAS!$H$34,CALENDARIO!$C$20=1),"P",""),IF(ISNUMBER(SEARCH(TEXT(P$7,"yyyy-mm-dd"),TAREAS!$J$34)),IF(TAREAS!$I$34="Registro Git","R",IF(TAREAS!$I$34="Despliegue documentado","D","L")),""))</f>
        <v/>
      </c>
      <c r="Q35" s="15" t="str">
        <f>IF(TAREAS!$I$34="Propuesta",IF(AND(Q$7&gt;=TAREAS!$G$34,Q$7&lt;=TAREAS!$H$34,CALENDARIO!$C$21=1),"P",""),IF(ISNUMBER(SEARCH(TEXT(Q$7,"yyyy-mm-dd"),TAREAS!$J$34)),IF(TAREAS!$I$34="Registro Git","R",IF(TAREAS!$I$34="Despliegue documentado","D","L")),""))</f>
        <v/>
      </c>
      <c r="R35" s="14" t="str">
        <f>IF(TAREAS!$I$34="Propuesta",IF(AND(R$7&gt;=TAREAS!$G$34,R$7&lt;=TAREAS!$H$34,CALENDARIO!$C$22=1),"P",""),IF(ISNUMBER(SEARCH(TEXT(R$7,"yyyy-mm-dd"),TAREAS!$J$34)),IF(TAREAS!$I$34="Registro Git","R",IF(TAREAS!$I$34="Despliegue documentado","D","L")),""))</f>
        <v/>
      </c>
      <c r="S35" s="14" t="str">
        <f>IF(TAREAS!$I$34="Propuesta",IF(AND(S$7&gt;=TAREAS!$G$34,S$7&lt;=TAREAS!$H$34,CALENDARIO!$C$23=1),"P",""),IF(ISNUMBER(SEARCH(TEXT(S$7,"yyyy-mm-dd"),TAREAS!$J$34)),IF(TAREAS!$I$34="Registro Git","R",IF(TAREAS!$I$34="Despliegue documentado","D","L")),""))</f>
        <v/>
      </c>
      <c r="T35" s="14" t="str">
        <f>IF(TAREAS!$I$34="Propuesta",IF(AND(T$7&gt;=TAREAS!$G$34,T$7&lt;=TAREAS!$H$34,CALENDARIO!$C$24=1),"P",""),IF(ISNUMBER(SEARCH(TEXT(T$7,"yyyy-mm-dd"),TAREAS!$J$34)),IF(TAREAS!$I$34="Registro Git","R",IF(TAREAS!$I$34="Despliegue documentado","D","L")),""))</f>
        <v/>
      </c>
      <c r="U35" s="14" t="str">
        <f>IF(TAREAS!$I$34="Propuesta",IF(AND(U$7&gt;=TAREAS!$G$34,U$7&lt;=TAREAS!$H$34,CALENDARIO!$C$25=1),"P",""),IF(ISNUMBER(SEARCH(TEXT(U$7,"yyyy-mm-dd"),TAREAS!$J$34)),IF(TAREAS!$I$34="Registro Git","R",IF(TAREAS!$I$34="Despliegue documentado","D","L")),""))</f>
        <v/>
      </c>
      <c r="V35" s="14" t="str">
        <f>IF(TAREAS!$I$34="Propuesta",IF(AND(V$7&gt;=TAREAS!$G$34,V$7&lt;=TAREAS!$H$34,CALENDARIO!$C$26=1),"P",""),IF(ISNUMBER(SEARCH(TEXT(V$7,"yyyy-mm-dd"),TAREAS!$J$34)),IF(TAREAS!$I$34="Registro Git","R",IF(TAREAS!$I$34="Despliegue documentado","D","L")),""))</f>
        <v/>
      </c>
      <c r="W35" s="15" t="str">
        <f>IF(TAREAS!$I$34="Propuesta",IF(AND(W$7&gt;=TAREAS!$G$34,W$7&lt;=TAREAS!$H$34,CALENDARIO!$C$27=1),"P",""),IF(ISNUMBER(SEARCH(TEXT(W$7,"yyyy-mm-dd"),TAREAS!$J$34)),IF(TAREAS!$I$34="Registro Git","R",IF(TAREAS!$I$34="Despliegue documentado","D","L")),""))</f>
        <v/>
      </c>
      <c r="X35" s="15" t="str">
        <f>IF(TAREAS!$I$34="Propuesta",IF(AND(X$7&gt;=TAREAS!$G$34,X$7&lt;=TAREAS!$H$34,CALENDARIO!$C$28=1),"P",""),IF(ISNUMBER(SEARCH(TEXT(X$7,"yyyy-mm-dd"),TAREAS!$J$34)),IF(TAREAS!$I$34="Registro Git","R",IF(TAREAS!$I$34="Despliegue documentado","D","L")),""))</f>
        <v/>
      </c>
      <c r="Y35" s="14" t="str">
        <f>IF(TAREAS!$I$34="Propuesta",IF(AND(Y$7&gt;=TAREAS!$G$34,Y$7&lt;=TAREAS!$H$34,CALENDARIO!$C$29=1),"P",""),IF(ISNUMBER(SEARCH(TEXT(Y$7,"yyyy-mm-dd"),TAREAS!$J$34)),IF(TAREAS!$I$34="Registro Git","R",IF(TAREAS!$I$34="Despliegue documentado","D","L")),""))</f>
        <v/>
      </c>
      <c r="Z35" s="14" t="str">
        <f>IF(TAREAS!$I$34="Propuesta",IF(AND(Z$7&gt;=TAREAS!$G$34,Z$7&lt;=TAREAS!$H$34,CALENDARIO!$C$30=1),"P",""),IF(ISNUMBER(SEARCH(TEXT(Z$7,"yyyy-mm-dd"),TAREAS!$J$34)),IF(TAREAS!$I$34="Registro Git","R",IF(TAREAS!$I$34="Despliegue documentado","D","L")),""))</f>
        <v/>
      </c>
      <c r="AA35" s="14" t="str">
        <f>IF(TAREAS!$I$34="Propuesta",IF(AND(AA$7&gt;=TAREAS!$G$34,AA$7&lt;=TAREAS!$H$34,CALENDARIO!$C$31=1),"P",""),IF(ISNUMBER(SEARCH(TEXT(AA$7,"yyyy-mm-dd"),TAREAS!$J$34)),IF(TAREAS!$I$34="Registro Git","R",IF(TAREAS!$I$34="Despliegue documentado","D","L")),""))</f>
        <v/>
      </c>
      <c r="AB35" s="14" t="str">
        <f>IF(TAREAS!$I$34="Propuesta",IF(AND(AB$7&gt;=TAREAS!$G$34,AB$7&lt;=TAREAS!$H$34,CALENDARIO!$C$32=1),"P",""),IF(ISNUMBER(SEARCH(TEXT(AB$7,"yyyy-mm-dd"),TAREAS!$J$34)),IF(TAREAS!$I$34="Registro Git","R",IF(TAREAS!$I$34="Despliegue documentado","D","L")),""))</f>
        <v/>
      </c>
      <c r="AC35" s="14" t="str">
        <f>IF(TAREAS!$I$34="Propuesta",IF(AND(AC$7&gt;=TAREAS!$G$34,AC$7&lt;=TAREAS!$H$34,CALENDARIO!$C$33=1),"P",""),IF(ISNUMBER(SEARCH(TEXT(AC$7,"yyyy-mm-dd"),TAREAS!$J$34)),IF(TAREAS!$I$34="Registro Git","R",IF(TAREAS!$I$34="Despliegue documentado","D","L")),""))</f>
        <v>P</v>
      </c>
      <c r="AD35" s="15" t="str">
        <f>IF(TAREAS!$I$34="Propuesta",IF(AND(AD$7&gt;=TAREAS!$G$34,AD$7&lt;=TAREAS!$H$34,CALENDARIO!$C$34=1),"P",""),IF(ISNUMBER(SEARCH(TEXT(AD$7,"yyyy-mm-dd"),TAREAS!$J$34)),IF(TAREAS!$I$34="Registro Git","R",IF(TAREAS!$I$34="Despliegue documentado","D","L")),""))</f>
        <v/>
      </c>
      <c r="AE35" s="15" t="str">
        <f>IF(TAREAS!$I$34="Propuesta",IF(AND(AE$7&gt;=TAREAS!$G$34,AE$7&lt;=TAREAS!$H$34,CALENDARIO!$C$35=1),"P",""),IF(ISNUMBER(SEARCH(TEXT(AE$7,"yyyy-mm-dd"),TAREAS!$J$34)),IF(TAREAS!$I$34="Registro Git","R",IF(TAREAS!$I$34="Despliegue documentado","D","L")),""))</f>
        <v/>
      </c>
      <c r="AF35" s="14" t="str">
        <f>IF(TAREAS!$I$34="Propuesta",IF(AND(AF$7&gt;=TAREAS!$G$34,AF$7&lt;=TAREAS!$H$34,CALENDARIO!$C$36=1),"P",""),IF(ISNUMBER(SEARCH(TEXT(AF$7,"yyyy-mm-dd"),TAREAS!$J$34)),IF(TAREAS!$I$34="Registro Git","R",IF(TAREAS!$I$34="Despliegue documentado","D","L")),""))</f>
        <v>P</v>
      </c>
      <c r="AG35" s="14" t="str">
        <f>IF(TAREAS!$I$34="Propuesta",IF(AND(AG$7&gt;=TAREAS!$G$34,AG$7&lt;=TAREAS!$H$34,CALENDARIO!$C$37=1),"P",""),IF(ISNUMBER(SEARCH(TEXT(AG$7,"yyyy-mm-dd"),TAREAS!$J$34)),IF(TAREAS!$I$34="Registro Git","R",IF(TAREAS!$I$34="Despliegue documentado","D","L")),""))</f>
        <v/>
      </c>
      <c r="AH35" s="14" t="str">
        <f>IF(TAREAS!$I$34="Propuesta",IF(AND(AH$7&gt;=TAREAS!$G$34,AH$7&lt;=TAREAS!$H$34,CALENDARIO!$C$38=1),"P",""),IF(ISNUMBER(SEARCH(TEXT(AH$7,"yyyy-mm-dd"),TAREAS!$J$34)),IF(TAREAS!$I$34="Registro Git","R",IF(TAREAS!$I$34="Despliegue documentado","D","L")),""))</f>
        <v/>
      </c>
    </row>
    <row r="36" spans="1:34" ht="72" customHeight="1" x14ac:dyDescent="0.25">
      <c r="A36" s="19" t="str">
        <f>TAREAS!C35</f>
        <v>HU-G11 · Como usuario, quiero mejoras de calidad y flujos confiables.</v>
      </c>
      <c r="B36" s="12" t="str">
        <f>TAREAS!A35&amp;" · "&amp;TAREAS!D35</f>
        <v>T-031 · Revisar despliegues pendientes y ejecutar pruebas críticas</v>
      </c>
      <c r="C36" s="12" t="str">
        <f>TAREAS!F35</f>
        <v>Sistemas + QA</v>
      </c>
      <c r="D36" s="13">
        <f t="shared" si="0"/>
        <v>1</v>
      </c>
      <c r="E36" s="14" t="str">
        <f>IF(TAREAS!$I$35="Propuesta",IF(AND(E$7&gt;=TAREAS!$G$35,E$7&lt;=TAREAS!$H$35,CALENDARIO!$C$9=1),"P",""),IF(ISNUMBER(SEARCH(TEXT(E$7,"yyyy-mm-dd"),TAREAS!$J$35)),IF(TAREAS!$I$35="Registro Git","R",IF(TAREAS!$I$35="Despliegue documentado","D","L")),""))</f>
        <v/>
      </c>
      <c r="F36" s="14" t="str">
        <f>IF(TAREAS!$I$35="Propuesta",IF(AND(F$7&gt;=TAREAS!$G$35,F$7&lt;=TAREAS!$H$35,CALENDARIO!$C$10=1),"P",""),IF(ISNUMBER(SEARCH(TEXT(F$7,"yyyy-mm-dd"),TAREAS!$J$35)),IF(TAREAS!$I$35="Registro Git","R",IF(TAREAS!$I$35="Despliegue documentado","D","L")),""))</f>
        <v/>
      </c>
      <c r="G36" s="14" t="str">
        <f>IF(TAREAS!$I$35="Propuesta",IF(AND(G$7&gt;=TAREAS!$G$35,G$7&lt;=TAREAS!$H$35,CALENDARIO!$C$11=1),"P",""),IF(ISNUMBER(SEARCH(TEXT(G$7,"yyyy-mm-dd"),TAREAS!$J$35)),IF(TAREAS!$I$35="Registro Git","R",IF(TAREAS!$I$35="Despliegue documentado","D","L")),""))</f>
        <v/>
      </c>
      <c r="H36" s="14" t="str">
        <f>IF(TAREAS!$I$35="Propuesta",IF(AND(H$7&gt;=TAREAS!$G$35,H$7&lt;=TAREAS!$H$35,CALENDARIO!$C$12=1),"P",""),IF(ISNUMBER(SEARCH(TEXT(H$7,"yyyy-mm-dd"),TAREAS!$J$35)),IF(TAREAS!$I$35="Registro Git","R",IF(TAREAS!$I$35="Despliegue documentado","D","L")),""))</f>
        <v/>
      </c>
      <c r="I36" s="15" t="str">
        <f>IF(TAREAS!$I$35="Propuesta",IF(AND(I$7&gt;=TAREAS!$G$35,I$7&lt;=TAREAS!$H$35,CALENDARIO!$C$13=1),"P",""),IF(ISNUMBER(SEARCH(TEXT(I$7,"yyyy-mm-dd"),TAREAS!$J$35)),IF(TAREAS!$I$35="Registro Git","R",IF(TAREAS!$I$35="Despliegue documentado","D","L")),""))</f>
        <v/>
      </c>
      <c r="J36" s="15" t="str">
        <f>IF(TAREAS!$I$35="Propuesta",IF(AND(J$7&gt;=TAREAS!$G$35,J$7&lt;=TAREAS!$H$35,CALENDARIO!$C$14=1),"P",""),IF(ISNUMBER(SEARCH(TEXT(J$7,"yyyy-mm-dd"),TAREAS!$J$35)),IF(TAREAS!$I$35="Registro Git","R",IF(TAREAS!$I$35="Despliegue documentado","D","L")),""))</f>
        <v/>
      </c>
      <c r="K36" s="14" t="str">
        <f>IF(TAREAS!$I$35="Propuesta",IF(AND(K$7&gt;=TAREAS!$G$35,K$7&lt;=TAREAS!$H$35,CALENDARIO!$C$15=1),"P",""),IF(ISNUMBER(SEARCH(TEXT(K$7,"yyyy-mm-dd"),TAREAS!$J$35)),IF(TAREAS!$I$35="Registro Git","R",IF(TAREAS!$I$35="Despliegue documentado","D","L")),""))</f>
        <v/>
      </c>
      <c r="L36" s="14" t="str">
        <f>IF(TAREAS!$I$35="Propuesta",IF(AND(L$7&gt;=TAREAS!$G$35,L$7&lt;=TAREAS!$H$35,CALENDARIO!$C$16=1),"P",""),IF(ISNUMBER(SEARCH(TEXT(L$7,"yyyy-mm-dd"),TAREAS!$J$35)),IF(TAREAS!$I$35="Registro Git","R",IF(TAREAS!$I$35="Despliegue documentado","D","L")),""))</f>
        <v/>
      </c>
      <c r="M36" s="14" t="str">
        <f>IF(TAREAS!$I$35="Propuesta",IF(AND(M$7&gt;=TAREAS!$G$35,M$7&lt;=TAREAS!$H$35,CALENDARIO!$C$17=1),"P",""),IF(ISNUMBER(SEARCH(TEXT(M$7,"yyyy-mm-dd"),TAREAS!$J$35)),IF(TAREAS!$I$35="Registro Git","R",IF(TAREAS!$I$35="Despliegue documentado","D","L")),""))</f>
        <v/>
      </c>
      <c r="N36" s="14" t="str">
        <f>IF(TAREAS!$I$35="Propuesta",IF(AND(N$7&gt;=TAREAS!$G$35,N$7&lt;=TAREAS!$H$35,CALENDARIO!$C$18=1),"P",""),IF(ISNUMBER(SEARCH(TEXT(N$7,"yyyy-mm-dd"),TAREAS!$J$35)),IF(TAREAS!$I$35="Registro Git","R",IF(TAREAS!$I$35="Despliegue documentado","D","L")),""))</f>
        <v/>
      </c>
      <c r="O36" s="14" t="str">
        <f>IF(TAREAS!$I$35="Propuesta",IF(AND(O$7&gt;=TAREAS!$G$35,O$7&lt;=TAREAS!$H$35,CALENDARIO!$C$19=1),"P",""),IF(ISNUMBER(SEARCH(TEXT(O$7,"yyyy-mm-dd"),TAREAS!$J$35)),IF(TAREAS!$I$35="Registro Git","R",IF(TAREAS!$I$35="Despliegue documentado","D","L")),""))</f>
        <v/>
      </c>
      <c r="P36" s="15" t="str">
        <f>IF(TAREAS!$I$35="Propuesta",IF(AND(P$7&gt;=TAREAS!$G$35,P$7&lt;=TAREAS!$H$35,CALENDARIO!$C$20=1),"P",""),IF(ISNUMBER(SEARCH(TEXT(P$7,"yyyy-mm-dd"),TAREAS!$J$35)),IF(TAREAS!$I$35="Registro Git","R",IF(TAREAS!$I$35="Despliegue documentado","D","L")),""))</f>
        <v/>
      </c>
      <c r="Q36" s="15" t="str">
        <f>IF(TAREAS!$I$35="Propuesta",IF(AND(Q$7&gt;=TAREAS!$G$35,Q$7&lt;=TAREAS!$H$35,CALENDARIO!$C$21=1),"P",""),IF(ISNUMBER(SEARCH(TEXT(Q$7,"yyyy-mm-dd"),TAREAS!$J$35)),IF(TAREAS!$I$35="Registro Git","R",IF(TAREAS!$I$35="Despliegue documentado","D","L")),""))</f>
        <v/>
      </c>
      <c r="R36" s="14" t="str">
        <f>IF(TAREAS!$I$35="Propuesta",IF(AND(R$7&gt;=TAREAS!$G$35,R$7&lt;=TAREAS!$H$35,CALENDARIO!$C$22=1),"P",""),IF(ISNUMBER(SEARCH(TEXT(R$7,"yyyy-mm-dd"),TAREAS!$J$35)),IF(TAREAS!$I$35="Registro Git","R",IF(TAREAS!$I$35="Despliegue documentado","D","L")),""))</f>
        <v/>
      </c>
      <c r="S36" s="14" t="str">
        <f>IF(TAREAS!$I$35="Propuesta",IF(AND(S$7&gt;=TAREAS!$G$35,S$7&lt;=TAREAS!$H$35,CALENDARIO!$C$23=1),"P",""),IF(ISNUMBER(SEARCH(TEXT(S$7,"yyyy-mm-dd"),TAREAS!$J$35)),IF(TAREAS!$I$35="Registro Git","R",IF(TAREAS!$I$35="Despliegue documentado","D","L")),""))</f>
        <v/>
      </c>
      <c r="T36" s="14" t="str">
        <f>IF(TAREAS!$I$35="Propuesta",IF(AND(T$7&gt;=TAREAS!$G$35,T$7&lt;=TAREAS!$H$35,CALENDARIO!$C$24=1),"P",""),IF(ISNUMBER(SEARCH(TEXT(T$7,"yyyy-mm-dd"),TAREAS!$J$35)),IF(TAREAS!$I$35="Registro Git","R",IF(TAREAS!$I$35="Despliegue documentado","D","L")),""))</f>
        <v/>
      </c>
      <c r="U36" s="14" t="str">
        <f>IF(TAREAS!$I$35="Propuesta",IF(AND(U$7&gt;=TAREAS!$G$35,U$7&lt;=TAREAS!$H$35,CALENDARIO!$C$25=1),"P",""),IF(ISNUMBER(SEARCH(TEXT(U$7,"yyyy-mm-dd"),TAREAS!$J$35)),IF(TAREAS!$I$35="Registro Git","R",IF(TAREAS!$I$35="Despliegue documentado","D","L")),""))</f>
        <v/>
      </c>
      <c r="V36" s="14" t="str">
        <f>IF(TAREAS!$I$35="Propuesta",IF(AND(V$7&gt;=TAREAS!$G$35,V$7&lt;=TAREAS!$H$35,CALENDARIO!$C$26=1),"P",""),IF(ISNUMBER(SEARCH(TEXT(V$7,"yyyy-mm-dd"),TAREAS!$J$35)),IF(TAREAS!$I$35="Registro Git","R",IF(TAREAS!$I$35="Despliegue documentado","D","L")),""))</f>
        <v/>
      </c>
      <c r="W36" s="15" t="str">
        <f>IF(TAREAS!$I$35="Propuesta",IF(AND(W$7&gt;=TAREAS!$G$35,W$7&lt;=TAREAS!$H$35,CALENDARIO!$C$27=1),"P",""),IF(ISNUMBER(SEARCH(TEXT(W$7,"yyyy-mm-dd"),TAREAS!$J$35)),IF(TAREAS!$I$35="Registro Git","R",IF(TAREAS!$I$35="Despliegue documentado","D","L")),""))</f>
        <v/>
      </c>
      <c r="X36" s="15" t="str">
        <f>IF(TAREAS!$I$35="Propuesta",IF(AND(X$7&gt;=TAREAS!$G$35,X$7&lt;=TAREAS!$H$35,CALENDARIO!$C$28=1),"P",""),IF(ISNUMBER(SEARCH(TEXT(X$7,"yyyy-mm-dd"),TAREAS!$J$35)),IF(TAREAS!$I$35="Registro Git","R",IF(TAREAS!$I$35="Despliegue documentado","D","L")),""))</f>
        <v/>
      </c>
      <c r="Y36" s="14" t="str">
        <f>IF(TAREAS!$I$35="Propuesta",IF(AND(Y$7&gt;=TAREAS!$G$35,Y$7&lt;=TAREAS!$H$35,CALENDARIO!$C$29=1),"P",""),IF(ISNUMBER(SEARCH(TEXT(Y$7,"yyyy-mm-dd"),TAREAS!$J$35)),IF(TAREAS!$I$35="Registro Git","R",IF(TAREAS!$I$35="Despliegue documentado","D","L")),""))</f>
        <v/>
      </c>
      <c r="Z36" s="14" t="str">
        <f>IF(TAREAS!$I$35="Propuesta",IF(AND(Z$7&gt;=TAREAS!$G$35,Z$7&lt;=TAREAS!$H$35,CALENDARIO!$C$30=1),"P",""),IF(ISNUMBER(SEARCH(TEXT(Z$7,"yyyy-mm-dd"),TAREAS!$J$35)),IF(TAREAS!$I$35="Registro Git","R",IF(TAREAS!$I$35="Despliegue documentado","D","L")),""))</f>
        <v/>
      </c>
      <c r="AA36" s="14" t="str">
        <f>IF(TAREAS!$I$35="Propuesta",IF(AND(AA$7&gt;=TAREAS!$G$35,AA$7&lt;=TAREAS!$H$35,CALENDARIO!$C$31=1),"P",""),IF(ISNUMBER(SEARCH(TEXT(AA$7,"yyyy-mm-dd"),TAREAS!$J$35)),IF(TAREAS!$I$35="Registro Git","R",IF(TAREAS!$I$35="Despliegue documentado","D","L")),""))</f>
        <v/>
      </c>
      <c r="AB36" s="14" t="str">
        <f>IF(TAREAS!$I$35="Propuesta",IF(AND(AB$7&gt;=TAREAS!$G$35,AB$7&lt;=TAREAS!$H$35,CALENDARIO!$C$32=1),"P",""),IF(ISNUMBER(SEARCH(TEXT(AB$7,"yyyy-mm-dd"),TAREAS!$J$35)),IF(TAREAS!$I$35="Registro Git","R",IF(TAREAS!$I$35="Despliegue documentado","D","L")),""))</f>
        <v/>
      </c>
      <c r="AC36" s="14" t="str">
        <f>IF(TAREAS!$I$35="Propuesta",IF(AND(AC$7&gt;=TAREAS!$G$35,AC$7&lt;=TAREAS!$H$35,CALENDARIO!$C$33=1),"P",""),IF(ISNUMBER(SEARCH(TEXT(AC$7,"yyyy-mm-dd"),TAREAS!$J$35)),IF(TAREAS!$I$35="Registro Git","R",IF(TAREAS!$I$35="Despliegue documentado","D","L")),""))</f>
        <v/>
      </c>
      <c r="AD36" s="15" t="str">
        <f>IF(TAREAS!$I$35="Propuesta",IF(AND(AD$7&gt;=TAREAS!$G$35,AD$7&lt;=TAREAS!$H$35,CALENDARIO!$C$34=1),"P",""),IF(ISNUMBER(SEARCH(TEXT(AD$7,"yyyy-mm-dd"),TAREAS!$J$35)),IF(TAREAS!$I$35="Registro Git","R",IF(TAREAS!$I$35="Despliegue documentado","D","L")),""))</f>
        <v/>
      </c>
      <c r="AE36" s="15" t="str">
        <f>IF(TAREAS!$I$35="Propuesta",IF(AND(AE$7&gt;=TAREAS!$G$35,AE$7&lt;=TAREAS!$H$35,CALENDARIO!$C$35=1),"P",""),IF(ISNUMBER(SEARCH(TEXT(AE$7,"yyyy-mm-dd"),TAREAS!$J$35)),IF(TAREAS!$I$35="Registro Git","R",IF(TAREAS!$I$35="Despliegue documentado","D","L")),""))</f>
        <v/>
      </c>
      <c r="AF36" s="14" t="str">
        <f>IF(TAREAS!$I$35="Propuesta",IF(AND(AF$7&gt;=TAREAS!$G$35,AF$7&lt;=TAREAS!$H$35,CALENDARIO!$C$36=1),"P",""),IF(ISNUMBER(SEARCH(TEXT(AF$7,"yyyy-mm-dd"),TAREAS!$J$35)),IF(TAREAS!$I$35="Registro Git","R",IF(TAREAS!$I$35="Despliegue documentado","D","L")),""))</f>
        <v/>
      </c>
      <c r="AG36" s="14" t="str">
        <f>IF(TAREAS!$I$35="Propuesta",IF(AND(AG$7&gt;=TAREAS!$G$35,AG$7&lt;=TAREAS!$H$35,CALENDARIO!$C$37=1),"P",""),IF(ISNUMBER(SEARCH(TEXT(AG$7,"yyyy-mm-dd"),TAREAS!$J$35)),IF(TAREAS!$I$35="Registro Git","R",IF(TAREAS!$I$35="Despliegue documentado","D","L")),""))</f>
        <v>P</v>
      </c>
      <c r="AH36" s="14" t="str">
        <f>IF(TAREAS!$I$35="Propuesta",IF(AND(AH$7&gt;=TAREAS!$G$35,AH$7&lt;=TAREAS!$H$35,CALENDARIO!$C$38=1),"P",""),IF(ISNUMBER(SEARCH(TEXT(AH$7,"yyyy-mm-dd"),TAREAS!$J$35)),IF(TAREAS!$I$35="Registro Git","R",IF(TAREAS!$I$35="Despliegue documentado","D","L")),""))</f>
        <v/>
      </c>
    </row>
    <row r="37" spans="1:34" ht="72" customHeight="1" x14ac:dyDescent="0.25">
      <c r="A37" s="16" t="str">
        <f>TAREAS!C36</f>
        <v>HU-G09 · Como equipo, queremos requisitos y planificación trazables.</v>
      </c>
      <c r="B37" s="12" t="str">
        <f>TAREAS!A36&amp;" · "&amp;TAREAS!D36</f>
        <v>T-032 · Revisión y retrospectiva del Sprint 1; acordar octubre</v>
      </c>
      <c r="C37" s="12" t="str">
        <f>TAREAS!F36</f>
        <v>Dirección + equipo</v>
      </c>
      <c r="D37" s="13">
        <f t="shared" si="0"/>
        <v>1</v>
      </c>
      <c r="E37" s="14" t="str">
        <f>IF(TAREAS!$I$36="Propuesta",IF(AND(E$7&gt;=TAREAS!$G$36,E$7&lt;=TAREAS!$H$36,CALENDARIO!$C$9=1),"P",""),IF(ISNUMBER(SEARCH(TEXT(E$7,"yyyy-mm-dd"),TAREAS!$J$36)),IF(TAREAS!$I$36="Registro Git","R",IF(TAREAS!$I$36="Despliegue documentado","D","L")),""))</f>
        <v/>
      </c>
      <c r="F37" s="14" t="str">
        <f>IF(TAREAS!$I$36="Propuesta",IF(AND(F$7&gt;=TAREAS!$G$36,F$7&lt;=TAREAS!$H$36,CALENDARIO!$C$10=1),"P",""),IF(ISNUMBER(SEARCH(TEXT(F$7,"yyyy-mm-dd"),TAREAS!$J$36)),IF(TAREAS!$I$36="Registro Git","R",IF(TAREAS!$I$36="Despliegue documentado","D","L")),""))</f>
        <v/>
      </c>
      <c r="G37" s="14" t="str">
        <f>IF(TAREAS!$I$36="Propuesta",IF(AND(G$7&gt;=TAREAS!$G$36,G$7&lt;=TAREAS!$H$36,CALENDARIO!$C$11=1),"P",""),IF(ISNUMBER(SEARCH(TEXT(G$7,"yyyy-mm-dd"),TAREAS!$J$36)),IF(TAREAS!$I$36="Registro Git","R",IF(TAREAS!$I$36="Despliegue documentado","D","L")),""))</f>
        <v/>
      </c>
      <c r="H37" s="14" t="str">
        <f>IF(TAREAS!$I$36="Propuesta",IF(AND(H$7&gt;=TAREAS!$G$36,H$7&lt;=TAREAS!$H$36,CALENDARIO!$C$12=1),"P",""),IF(ISNUMBER(SEARCH(TEXT(H$7,"yyyy-mm-dd"),TAREAS!$J$36)),IF(TAREAS!$I$36="Registro Git","R",IF(TAREAS!$I$36="Despliegue documentado","D","L")),""))</f>
        <v/>
      </c>
      <c r="I37" s="15" t="str">
        <f>IF(TAREAS!$I$36="Propuesta",IF(AND(I$7&gt;=TAREAS!$G$36,I$7&lt;=TAREAS!$H$36,CALENDARIO!$C$13=1),"P",""),IF(ISNUMBER(SEARCH(TEXT(I$7,"yyyy-mm-dd"),TAREAS!$J$36)),IF(TAREAS!$I$36="Registro Git","R",IF(TAREAS!$I$36="Despliegue documentado","D","L")),""))</f>
        <v/>
      </c>
      <c r="J37" s="15" t="str">
        <f>IF(TAREAS!$I$36="Propuesta",IF(AND(J$7&gt;=TAREAS!$G$36,J$7&lt;=TAREAS!$H$36,CALENDARIO!$C$14=1),"P",""),IF(ISNUMBER(SEARCH(TEXT(J$7,"yyyy-mm-dd"),TAREAS!$J$36)),IF(TAREAS!$I$36="Registro Git","R",IF(TAREAS!$I$36="Despliegue documentado","D","L")),""))</f>
        <v/>
      </c>
      <c r="K37" s="14" t="str">
        <f>IF(TAREAS!$I$36="Propuesta",IF(AND(K$7&gt;=TAREAS!$G$36,K$7&lt;=TAREAS!$H$36,CALENDARIO!$C$15=1),"P",""),IF(ISNUMBER(SEARCH(TEXT(K$7,"yyyy-mm-dd"),TAREAS!$J$36)),IF(TAREAS!$I$36="Registro Git","R",IF(TAREAS!$I$36="Despliegue documentado","D","L")),""))</f>
        <v/>
      </c>
      <c r="L37" s="14" t="str">
        <f>IF(TAREAS!$I$36="Propuesta",IF(AND(L$7&gt;=TAREAS!$G$36,L$7&lt;=TAREAS!$H$36,CALENDARIO!$C$16=1),"P",""),IF(ISNUMBER(SEARCH(TEXT(L$7,"yyyy-mm-dd"),TAREAS!$J$36)),IF(TAREAS!$I$36="Registro Git","R",IF(TAREAS!$I$36="Despliegue documentado","D","L")),""))</f>
        <v/>
      </c>
      <c r="M37" s="14" t="str">
        <f>IF(TAREAS!$I$36="Propuesta",IF(AND(M$7&gt;=TAREAS!$G$36,M$7&lt;=TAREAS!$H$36,CALENDARIO!$C$17=1),"P",""),IF(ISNUMBER(SEARCH(TEXT(M$7,"yyyy-mm-dd"),TAREAS!$J$36)),IF(TAREAS!$I$36="Registro Git","R",IF(TAREAS!$I$36="Despliegue documentado","D","L")),""))</f>
        <v/>
      </c>
      <c r="N37" s="14" t="str">
        <f>IF(TAREAS!$I$36="Propuesta",IF(AND(N$7&gt;=TAREAS!$G$36,N$7&lt;=TAREAS!$H$36,CALENDARIO!$C$18=1),"P",""),IF(ISNUMBER(SEARCH(TEXT(N$7,"yyyy-mm-dd"),TAREAS!$J$36)),IF(TAREAS!$I$36="Registro Git","R",IF(TAREAS!$I$36="Despliegue documentado","D","L")),""))</f>
        <v/>
      </c>
      <c r="O37" s="14" t="str">
        <f>IF(TAREAS!$I$36="Propuesta",IF(AND(O$7&gt;=TAREAS!$G$36,O$7&lt;=TAREAS!$H$36,CALENDARIO!$C$19=1),"P",""),IF(ISNUMBER(SEARCH(TEXT(O$7,"yyyy-mm-dd"),TAREAS!$J$36)),IF(TAREAS!$I$36="Registro Git","R",IF(TAREAS!$I$36="Despliegue documentado","D","L")),""))</f>
        <v/>
      </c>
      <c r="P37" s="15" t="str">
        <f>IF(TAREAS!$I$36="Propuesta",IF(AND(P$7&gt;=TAREAS!$G$36,P$7&lt;=TAREAS!$H$36,CALENDARIO!$C$20=1),"P",""),IF(ISNUMBER(SEARCH(TEXT(P$7,"yyyy-mm-dd"),TAREAS!$J$36)),IF(TAREAS!$I$36="Registro Git","R",IF(TAREAS!$I$36="Despliegue documentado","D","L")),""))</f>
        <v/>
      </c>
      <c r="Q37" s="15" t="str">
        <f>IF(TAREAS!$I$36="Propuesta",IF(AND(Q$7&gt;=TAREAS!$G$36,Q$7&lt;=TAREAS!$H$36,CALENDARIO!$C$21=1),"P",""),IF(ISNUMBER(SEARCH(TEXT(Q$7,"yyyy-mm-dd"),TAREAS!$J$36)),IF(TAREAS!$I$36="Registro Git","R",IF(TAREAS!$I$36="Despliegue documentado","D","L")),""))</f>
        <v/>
      </c>
      <c r="R37" s="14" t="str">
        <f>IF(TAREAS!$I$36="Propuesta",IF(AND(R$7&gt;=TAREAS!$G$36,R$7&lt;=TAREAS!$H$36,CALENDARIO!$C$22=1),"P",""),IF(ISNUMBER(SEARCH(TEXT(R$7,"yyyy-mm-dd"),TAREAS!$J$36)),IF(TAREAS!$I$36="Registro Git","R",IF(TAREAS!$I$36="Despliegue documentado","D","L")),""))</f>
        <v/>
      </c>
      <c r="S37" s="14" t="str">
        <f>IF(TAREAS!$I$36="Propuesta",IF(AND(S$7&gt;=TAREAS!$G$36,S$7&lt;=TAREAS!$H$36,CALENDARIO!$C$23=1),"P",""),IF(ISNUMBER(SEARCH(TEXT(S$7,"yyyy-mm-dd"),TAREAS!$J$36)),IF(TAREAS!$I$36="Registro Git","R",IF(TAREAS!$I$36="Despliegue documentado","D","L")),""))</f>
        <v/>
      </c>
      <c r="T37" s="14" t="str">
        <f>IF(TAREAS!$I$36="Propuesta",IF(AND(T$7&gt;=TAREAS!$G$36,T$7&lt;=TAREAS!$H$36,CALENDARIO!$C$24=1),"P",""),IF(ISNUMBER(SEARCH(TEXT(T$7,"yyyy-mm-dd"),TAREAS!$J$36)),IF(TAREAS!$I$36="Registro Git","R",IF(TAREAS!$I$36="Despliegue documentado","D","L")),""))</f>
        <v/>
      </c>
      <c r="U37" s="14" t="str">
        <f>IF(TAREAS!$I$36="Propuesta",IF(AND(U$7&gt;=TAREAS!$G$36,U$7&lt;=TAREAS!$H$36,CALENDARIO!$C$25=1),"P",""),IF(ISNUMBER(SEARCH(TEXT(U$7,"yyyy-mm-dd"),TAREAS!$J$36)),IF(TAREAS!$I$36="Registro Git","R",IF(TAREAS!$I$36="Despliegue documentado","D","L")),""))</f>
        <v/>
      </c>
      <c r="V37" s="14" t="str">
        <f>IF(TAREAS!$I$36="Propuesta",IF(AND(V$7&gt;=TAREAS!$G$36,V$7&lt;=TAREAS!$H$36,CALENDARIO!$C$26=1),"P",""),IF(ISNUMBER(SEARCH(TEXT(V$7,"yyyy-mm-dd"),TAREAS!$J$36)),IF(TAREAS!$I$36="Registro Git","R",IF(TAREAS!$I$36="Despliegue documentado","D","L")),""))</f>
        <v/>
      </c>
      <c r="W37" s="15" t="str">
        <f>IF(TAREAS!$I$36="Propuesta",IF(AND(W$7&gt;=TAREAS!$G$36,W$7&lt;=TAREAS!$H$36,CALENDARIO!$C$27=1),"P",""),IF(ISNUMBER(SEARCH(TEXT(W$7,"yyyy-mm-dd"),TAREAS!$J$36)),IF(TAREAS!$I$36="Registro Git","R",IF(TAREAS!$I$36="Despliegue documentado","D","L")),""))</f>
        <v/>
      </c>
      <c r="X37" s="15" t="str">
        <f>IF(TAREAS!$I$36="Propuesta",IF(AND(X$7&gt;=TAREAS!$G$36,X$7&lt;=TAREAS!$H$36,CALENDARIO!$C$28=1),"P",""),IF(ISNUMBER(SEARCH(TEXT(X$7,"yyyy-mm-dd"),TAREAS!$J$36)),IF(TAREAS!$I$36="Registro Git","R",IF(TAREAS!$I$36="Despliegue documentado","D","L")),""))</f>
        <v/>
      </c>
      <c r="Y37" s="14" t="str">
        <f>IF(TAREAS!$I$36="Propuesta",IF(AND(Y$7&gt;=TAREAS!$G$36,Y$7&lt;=TAREAS!$H$36,CALENDARIO!$C$29=1),"P",""),IF(ISNUMBER(SEARCH(TEXT(Y$7,"yyyy-mm-dd"),TAREAS!$J$36)),IF(TAREAS!$I$36="Registro Git","R",IF(TAREAS!$I$36="Despliegue documentado","D","L")),""))</f>
        <v/>
      </c>
      <c r="Z37" s="14" t="str">
        <f>IF(TAREAS!$I$36="Propuesta",IF(AND(Z$7&gt;=TAREAS!$G$36,Z$7&lt;=TAREAS!$H$36,CALENDARIO!$C$30=1),"P",""),IF(ISNUMBER(SEARCH(TEXT(Z$7,"yyyy-mm-dd"),TAREAS!$J$36)),IF(TAREAS!$I$36="Registro Git","R",IF(TAREAS!$I$36="Despliegue documentado","D","L")),""))</f>
        <v/>
      </c>
      <c r="AA37" s="14" t="str">
        <f>IF(TAREAS!$I$36="Propuesta",IF(AND(AA$7&gt;=TAREAS!$G$36,AA$7&lt;=TAREAS!$H$36,CALENDARIO!$C$31=1),"P",""),IF(ISNUMBER(SEARCH(TEXT(AA$7,"yyyy-mm-dd"),TAREAS!$J$36)),IF(TAREAS!$I$36="Registro Git","R",IF(TAREAS!$I$36="Despliegue documentado","D","L")),""))</f>
        <v/>
      </c>
      <c r="AB37" s="14" t="str">
        <f>IF(TAREAS!$I$36="Propuesta",IF(AND(AB$7&gt;=TAREAS!$G$36,AB$7&lt;=TAREAS!$H$36,CALENDARIO!$C$32=1),"P",""),IF(ISNUMBER(SEARCH(TEXT(AB$7,"yyyy-mm-dd"),TAREAS!$J$36)),IF(TAREAS!$I$36="Registro Git","R",IF(TAREAS!$I$36="Despliegue documentado","D","L")),""))</f>
        <v/>
      </c>
      <c r="AC37" s="14" t="str">
        <f>IF(TAREAS!$I$36="Propuesta",IF(AND(AC$7&gt;=TAREAS!$G$36,AC$7&lt;=TAREAS!$H$36,CALENDARIO!$C$33=1),"P",""),IF(ISNUMBER(SEARCH(TEXT(AC$7,"yyyy-mm-dd"),TAREAS!$J$36)),IF(TAREAS!$I$36="Registro Git","R",IF(TAREAS!$I$36="Despliegue documentado","D","L")),""))</f>
        <v/>
      </c>
      <c r="AD37" s="15" t="str">
        <f>IF(TAREAS!$I$36="Propuesta",IF(AND(AD$7&gt;=TAREAS!$G$36,AD$7&lt;=TAREAS!$H$36,CALENDARIO!$C$34=1),"P",""),IF(ISNUMBER(SEARCH(TEXT(AD$7,"yyyy-mm-dd"),TAREAS!$J$36)),IF(TAREAS!$I$36="Registro Git","R",IF(TAREAS!$I$36="Despliegue documentado","D","L")),""))</f>
        <v/>
      </c>
      <c r="AE37" s="15" t="str">
        <f>IF(TAREAS!$I$36="Propuesta",IF(AND(AE$7&gt;=TAREAS!$G$36,AE$7&lt;=TAREAS!$H$36,CALENDARIO!$C$35=1),"P",""),IF(ISNUMBER(SEARCH(TEXT(AE$7,"yyyy-mm-dd"),TAREAS!$J$36)),IF(TAREAS!$I$36="Registro Git","R",IF(TAREAS!$I$36="Despliegue documentado","D","L")),""))</f>
        <v/>
      </c>
      <c r="AF37" s="14" t="str">
        <f>IF(TAREAS!$I$36="Propuesta",IF(AND(AF$7&gt;=TAREAS!$G$36,AF$7&lt;=TAREAS!$H$36,CALENDARIO!$C$36=1),"P",""),IF(ISNUMBER(SEARCH(TEXT(AF$7,"yyyy-mm-dd"),TAREAS!$J$36)),IF(TAREAS!$I$36="Registro Git","R",IF(TAREAS!$I$36="Despliegue documentado","D","L")),""))</f>
        <v/>
      </c>
      <c r="AG37" s="14" t="str">
        <f>IF(TAREAS!$I$36="Propuesta",IF(AND(AG$7&gt;=TAREAS!$G$36,AG$7&lt;=TAREAS!$H$36,CALENDARIO!$C$37=1),"P",""),IF(ISNUMBER(SEARCH(TEXT(AG$7,"yyyy-mm-dd"),TAREAS!$J$36)),IF(TAREAS!$I$36="Registro Git","R",IF(TAREAS!$I$36="Despliegue documentado","D","L")),""))</f>
        <v/>
      </c>
      <c r="AH37" s="14" t="str">
        <f>IF(TAREAS!$I$36="Propuesta",IF(AND(AH$7&gt;=TAREAS!$G$36,AH$7&lt;=TAREAS!$H$36,CALENDARIO!$C$38=1),"P",""),IF(ISNUMBER(SEARCH(TEXT(AH$7,"yyyy-mm-dd"),TAREAS!$J$36)),IF(TAREAS!$I$36="Registro Git","R",IF(TAREAS!$I$36="Despliegue documentado","D","L")),""))</f>
        <v>P</v>
      </c>
    </row>
  </sheetData>
  <mergeCells count="8">
    <mergeCell ref="A1:AH2"/>
    <mergeCell ref="A4:AH4"/>
    <mergeCell ref="A3:AH3"/>
    <mergeCell ref="C7:C8"/>
    <mergeCell ref="A7:A8"/>
    <mergeCell ref="B7:B8"/>
    <mergeCell ref="D7:D8"/>
    <mergeCell ref="A5:AH5"/>
  </mergeCells>
  <conditionalFormatting sqref="E9:AH9">
    <cfRule type="expression" dxfId="35" priority="1">
      <formula>E9&lt;&gt;""</formula>
    </cfRule>
  </conditionalFormatting>
  <conditionalFormatting sqref="E10:AH10">
    <cfRule type="expression" dxfId="34" priority="2">
      <formula>E10&lt;&gt;""</formula>
    </cfRule>
  </conditionalFormatting>
  <conditionalFormatting sqref="E11:AH11">
    <cfRule type="expression" dxfId="33" priority="3">
      <formula>E11&lt;&gt;""</formula>
    </cfRule>
  </conditionalFormatting>
  <conditionalFormatting sqref="E12:AH13">
    <cfRule type="expression" dxfId="32" priority="4">
      <formula>E12&lt;&gt;""</formula>
    </cfRule>
  </conditionalFormatting>
  <conditionalFormatting sqref="E14:AH14">
    <cfRule type="expression" dxfId="31" priority="6">
      <formula>E14&lt;&gt;""</formula>
    </cfRule>
  </conditionalFormatting>
  <conditionalFormatting sqref="E15:AH15">
    <cfRule type="expression" dxfId="30" priority="7">
      <formula>E15&lt;&gt;""</formula>
    </cfRule>
  </conditionalFormatting>
  <conditionalFormatting sqref="E16:AH16">
    <cfRule type="expression" dxfId="29" priority="8">
      <formula>E16&lt;&gt;""</formula>
    </cfRule>
  </conditionalFormatting>
  <conditionalFormatting sqref="E17:AH17">
    <cfRule type="expression" dxfId="28" priority="9">
      <formula>E17&lt;&gt;""</formula>
    </cfRule>
  </conditionalFormatting>
  <conditionalFormatting sqref="E18:AH18">
    <cfRule type="expression" dxfId="27" priority="10">
      <formula>E18&lt;&gt;""</formula>
    </cfRule>
  </conditionalFormatting>
  <conditionalFormatting sqref="E19:AH19">
    <cfRule type="expression" dxfId="26" priority="11">
      <formula>E19&lt;&gt;""</formula>
    </cfRule>
  </conditionalFormatting>
  <conditionalFormatting sqref="E20:AH21">
    <cfRule type="expression" dxfId="25" priority="12">
      <formula>E20&lt;&gt;""</formula>
    </cfRule>
  </conditionalFormatting>
  <conditionalFormatting sqref="E22:AH22">
    <cfRule type="expression" dxfId="24" priority="14">
      <formula>E22&lt;&gt;""</formula>
    </cfRule>
  </conditionalFormatting>
  <conditionalFormatting sqref="E23:AH23">
    <cfRule type="expression" dxfId="23" priority="15">
      <formula>E23&lt;&gt;""</formula>
    </cfRule>
  </conditionalFormatting>
  <conditionalFormatting sqref="E24:AH25">
    <cfRule type="expression" dxfId="22" priority="16">
      <formula>E24&lt;&gt;""</formula>
    </cfRule>
  </conditionalFormatting>
  <conditionalFormatting sqref="E26:AH26">
    <cfRule type="expression" dxfId="21" priority="18">
      <formula>E26&lt;&gt;""</formula>
    </cfRule>
  </conditionalFormatting>
  <conditionalFormatting sqref="E27:AH28">
    <cfRule type="expression" dxfId="20" priority="19">
      <formula>E27&lt;&gt;""</formula>
    </cfRule>
  </conditionalFormatting>
  <conditionalFormatting sqref="E29:AH29">
    <cfRule type="expression" dxfId="19" priority="21">
      <formula>E29&lt;&gt;""</formula>
    </cfRule>
  </conditionalFormatting>
  <conditionalFormatting sqref="E30:AH30">
    <cfRule type="expression" dxfId="18" priority="22">
      <formula>E30&lt;&gt;""</formula>
    </cfRule>
  </conditionalFormatting>
  <conditionalFormatting sqref="E31:AH31">
    <cfRule type="expression" dxfId="17" priority="23">
      <formula>E31&lt;&gt;""</formula>
    </cfRule>
  </conditionalFormatting>
  <conditionalFormatting sqref="E32:AH32">
    <cfRule type="expression" dxfId="16" priority="24">
      <formula>E32&lt;&gt;""</formula>
    </cfRule>
  </conditionalFormatting>
  <conditionalFormatting sqref="E33:AH35">
    <cfRule type="expression" dxfId="15" priority="25">
      <formula>E33&lt;&gt;""</formula>
    </cfRule>
  </conditionalFormatting>
  <conditionalFormatting sqref="E36:AH36">
    <cfRule type="expression" dxfId="14" priority="28">
      <formula>E36&lt;&gt;""</formula>
    </cfRule>
  </conditionalFormatting>
  <conditionalFormatting sqref="E37:AH37">
    <cfRule type="expression" dxfId="13" priority="29">
      <formula>E37&lt;&gt;""</formula>
    </cfRule>
  </conditionalFormatting>
  <printOptions horizontalCentered="1"/>
  <pageMargins left="0.22" right="0.22" top="0.35" bottom="0.35" header="0.5" footer="0.5"/>
  <pageSetup paperSize="8" fitToHeight="0" orientation="landscape"/>
  <headerFooter>
    <oddFooter>&amp;C&amp;8 KJA · Planificación al 22/09/2026 · 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CD0EA"/>
    <pageSetUpPr fitToPage="1"/>
  </sheetPr>
  <dimension ref="A1:AI19"/>
  <sheetViews>
    <sheetView showGridLines="0" zoomScale="70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9" customWidth="1"/>
    <col min="2" max="2" width="59" customWidth="1"/>
    <col min="3" max="3" width="28" customWidth="1"/>
    <col min="4" max="4" width="11" customWidth="1"/>
    <col min="5" max="35" width="6" customWidth="1"/>
  </cols>
  <sheetData>
    <row r="1" spans="1:35" ht="24" customHeight="1" x14ac:dyDescent="0.25">
      <c r="A1" s="26" t="s">
        <v>65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spans="1:35" ht="15.9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 spans="1:35" ht="23.1" customHeight="1" x14ac:dyDescent="0.25">
      <c r="A3" s="27" t="s">
        <v>66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</row>
    <row r="4" spans="1:35" ht="23.1" customHeight="1" x14ac:dyDescent="0.25">
      <c r="A4" s="27" t="s">
        <v>50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</row>
    <row r="5" spans="1:35" ht="21.95" customHeight="1" x14ac:dyDescent="0.25">
      <c r="A5" s="27" t="s">
        <v>51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7" spans="1:35" ht="26.1" customHeight="1" x14ac:dyDescent="0.25">
      <c r="A7" s="28" t="s">
        <v>52</v>
      </c>
      <c r="B7" s="28" t="s">
        <v>53</v>
      </c>
      <c r="C7" s="28" t="s">
        <v>54</v>
      </c>
      <c r="D7" s="28" t="s">
        <v>55</v>
      </c>
      <c r="E7" s="7">
        <v>46296</v>
      </c>
      <c r="F7" s="7">
        <v>46297</v>
      </c>
      <c r="G7" s="8">
        <v>46298</v>
      </c>
      <c r="H7" s="8">
        <v>46299</v>
      </c>
      <c r="I7" s="7">
        <v>46300</v>
      </c>
      <c r="J7" s="7">
        <v>46301</v>
      </c>
      <c r="K7" s="7">
        <v>46302</v>
      </c>
      <c r="L7" s="8">
        <v>46303</v>
      </c>
      <c r="M7" s="7">
        <v>46304</v>
      </c>
      <c r="N7" s="8">
        <v>46305</v>
      </c>
      <c r="O7" s="8">
        <v>46306</v>
      </c>
      <c r="P7" s="7">
        <v>46307</v>
      </c>
      <c r="Q7" s="7">
        <v>46308</v>
      </c>
      <c r="R7" s="7">
        <v>46309</v>
      </c>
      <c r="S7" s="7">
        <v>46310</v>
      </c>
      <c r="T7" s="7">
        <v>46311</v>
      </c>
      <c r="U7" s="8">
        <v>46312</v>
      </c>
      <c r="V7" s="8">
        <v>46313</v>
      </c>
      <c r="W7" s="7">
        <v>46314</v>
      </c>
      <c r="X7" s="7">
        <v>46315</v>
      </c>
      <c r="Y7" s="7">
        <v>46316</v>
      </c>
      <c r="Z7" s="7">
        <v>46317</v>
      </c>
      <c r="AA7" s="7">
        <v>46318</v>
      </c>
      <c r="AB7" s="8">
        <v>46319</v>
      </c>
      <c r="AC7" s="8">
        <v>46320</v>
      </c>
      <c r="AD7" s="7">
        <v>46321</v>
      </c>
      <c r="AE7" s="7">
        <v>46322</v>
      </c>
      <c r="AF7" s="7">
        <v>46323</v>
      </c>
      <c r="AG7" s="7">
        <v>46324</v>
      </c>
      <c r="AH7" s="7">
        <v>46325</v>
      </c>
      <c r="AI7" s="8">
        <v>46326</v>
      </c>
    </row>
    <row r="8" spans="1:35" ht="18.95" customHeight="1" x14ac:dyDescent="0.25">
      <c r="A8" s="27"/>
      <c r="B8" s="27"/>
      <c r="C8" s="27"/>
      <c r="D8" s="27"/>
      <c r="E8" s="9" t="s">
        <v>64</v>
      </c>
      <c r="F8" s="9" t="s">
        <v>56</v>
      </c>
      <c r="G8" s="10" t="s">
        <v>57</v>
      </c>
      <c r="H8" s="10" t="s">
        <v>58</v>
      </c>
      <c r="I8" s="9" t="s">
        <v>59</v>
      </c>
      <c r="J8" s="9" t="s">
        <v>62</v>
      </c>
      <c r="K8" s="9" t="s">
        <v>63</v>
      </c>
      <c r="L8" s="10" t="s">
        <v>64</v>
      </c>
      <c r="M8" s="9" t="s">
        <v>56</v>
      </c>
      <c r="N8" s="10" t="s">
        <v>57</v>
      </c>
      <c r="O8" s="10" t="s">
        <v>58</v>
      </c>
      <c r="P8" s="9" t="s">
        <v>59</v>
      </c>
      <c r="Q8" s="9" t="s">
        <v>62</v>
      </c>
      <c r="R8" s="9" t="s">
        <v>63</v>
      </c>
      <c r="S8" s="9" t="s">
        <v>64</v>
      </c>
      <c r="T8" s="9" t="s">
        <v>56</v>
      </c>
      <c r="U8" s="10" t="s">
        <v>57</v>
      </c>
      <c r="V8" s="10" t="s">
        <v>58</v>
      </c>
      <c r="W8" s="9" t="s">
        <v>59</v>
      </c>
      <c r="X8" s="9" t="s">
        <v>62</v>
      </c>
      <c r="Y8" s="9" t="s">
        <v>63</v>
      </c>
      <c r="Z8" s="9" t="s">
        <v>64</v>
      </c>
      <c r="AA8" s="9" t="s">
        <v>56</v>
      </c>
      <c r="AB8" s="10" t="s">
        <v>57</v>
      </c>
      <c r="AC8" s="10" t="s">
        <v>58</v>
      </c>
      <c r="AD8" s="9" t="s">
        <v>59</v>
      </c>
      <c r="AE8" s="9" t="s">
        <v>62</v>
      </c>
      <c r="AF8" s="9" t="s">
        <v>63</v>
      </c>
      <c r="AG8" s="9" t="s">
        <v>64</v>
      </c>
      <c r="AH8" s="9" t="s">
        <v>56</v>
      </c>
      <c r="AI8" s="10" t="s">
        <v>57</v>
      </c>
    </row>
    <row r="9" spans="1:35" ht="72" customHeight="1" x14ac:dyDescent="0.25">
      <c r="A9" s="18" t="str">
        <f>TAREAS!C37</f>
        <v>HU-G10 · Como responsable de área, quiero actualizar equipo, horarios y necesidades.</v>
      </c>
      <c r="B9" s="12" t="str">
        <f>TAREAS!A37&amp;" · "&amp;TAREAS!D37</f>
        <v>T-033 · Revisar y actualizar configuración del área: Salud ocupacional</v>
      </c>
      <c r="C9" s="12" t="str">
        <f>TAREAS!F37</f>
        <v>Sistemas + responsable del área</v>
      </c>
      <c r="D9" s="13">
        <f t="shared" ref="D9:D19" si="0">COUNTIF(E9:AI9,"R")+COUNTIF(E9:AI9,"D")+COUNTIF(E9:AI9,"L")+COUNTIF(E9:AI9,"P")</f>
        <v>2</v>
      </c>
      <c r="E9" s="14" t="str">
        <f>IF(TAREAS!$I$37="Propuesta",IF(AND(E$7&gt;=TAREAS!$G$37,E$7&lt;=TAREAS!$H$37,CALENDARIO!$C$39=1),"P",""),IF(ISNUMBER(SEARCH(TEXT(E$7,"yyyy-mm-dd"),TAREAS!$J$37)),IF(TAREAS!$I$37="Registro Git","R",IF(TAREAS!$I$37="Despliegue documentado","D","L")),""))</f>
        <v>P</v>
      </c>
      <c r="F9" s="14" t="str">
        <f>IF(TAREAS!$I$37="Propuesta",IF(AND(F$7&gt;=TAREAS!$G$37,F$7&lt;=TAREAS!$H$37,CALENDARIO!$C$40=1),"P",""),IF(ISNUMBER(SEARCH(TEXT(F$7,"yyyy-mm-dd"),TAREAS!$J$37)),IF(TAREAS!$I$37="Registro Git","R",IF(TAREAS!$I$37="Despliegue documentado","D","L")),""))</f>
        <v>P</v>
      </c>
      <c r="G9" s="15" t="str">
        <f>IF(TAREAS!$I$37="Propuesta",IF(AND(G$7&gt;=TAREAS!$G$37,G$7&lt;=TAREAS!$H$37,CALENDARIO!$C$41=1),"P",""),IF(ISNUMBER(SEARCH(TEXT(G$7,"yyyy-mm-dd"),TAREAS!$J$37)),IF(TAREAS!$I$37="Registro Git","R",IF(TAREAS!$I$37="Despliegue documentado","D","L")),""))</f>
        <v/>
      </c>
      <c r="H9" s="15" t="str">
        <f>IF(TAREAS!$I$37="Propuesta",IF(AND(H$7&gt;=TAREAS!$G$37,H$7&lt;=TAREAS!$H$37,CALENDARIO!$C$42=1),"P",""),IF(ISNUMBER(SEARCH(TEXT(H$7,"yyyy-mm-dd"),TAREAS!$J$37)),IF(TAREAS!$I$37="Registro Git","R",IF(TAREAS!$I$37="Despliegue documentado","D","L")),""))</f>
        <v/>
      </c>
      <c r="I9" s="14" t="str">
        <f>IF(TAREAS!$I$37="Propuesta",IF(AND(I$7&gt;=TAREAS!$G$37,I$7&lt;=TAREAS!$H$37,CALENDARIO!$C$43=1),"P",""),IF(ISNUMBER(SEARCH(TEXT(I$7,"yyyy-mm-dd"),TAREAS!$J$37)),IF(TAREAS!$I$37="Registro Git","R",IF(TAREAS!$I$37="Despliegue documentado","D","L")),""))</f>
        <v/>
      </c>
      <c r="J9" s="14" t="str">
        <f>IF(TAREAS!$I$37="Propuesta",IF(AND(J$7&gt;=TAREAS!$G$37,J$7&lt;=TAREAS!$H$37,CALENDARIO!$C$44=1),"P",""),IF(ISNUMBER(SEARCH(TEXT(J$7,"yyyy-mm-dd"),TAREAS!$J$37)),IF(TAREAS!$I$37="Registro Git","R",IF(TAREAS!$I$37="Despliegue documentado","D","L")),""))</f>
        <v/>
      </c>
      <c r="K9" s="14" t="str">
        <f>IF(TAREAS!$I$37="Propuesta",IF(AND(K$7&gt;=TAREAS!$G$37,K$7&lt;=TAREAS!$H$37,CALENDARIO!$C$45=1),"P",""),IF(ISNUMBER(SEARCH(TEXT(K$7,"yyyy-mm-dd"),TAREAS!$J$37)),IF(TAREAS!$I$37="Registro Git","R",IF(TAREAS!$I$37="Despliegue documentado","D","L")),""))</f>
        <v/>
      </c>
      <c r="L9" s="15" t="str">
        <f>IF(TAREAS!$I$37="Propuesta",IF(AND(L$7&gt;=TAREAS!$G$37,L$7&lt;=TAREAS!$H$37,CALENDARIO!$C$46=1),"P",""),IF(ISNUMBER(SEARCH(TEXT(L$7,"yyyy-mm-dd"),TAREAS!$J$37)),IF(TAREAS!$I$37="Registro Git","R",IF(TAREAS!$I$37="Despliegue documentado","D","L")),""))</f>
        <v/>
      </c>
      <c r="M9" s="14" t="str">
        <f>IF(TAREAS!$I$37="Propuesta",IF(AND(M$7&gt;=TAREAS!$G$37,M$7&lt;=TAREAS!$H$37,CALENDARIO!$C$47=1),"P",""),IF(ISNUMBER(SEARCH(TEXT(M$7,"yyyy-mm-dd"),TAREAS!$J$37)),IF(TAREAS!$I$37="Registro Git","R",IF(TAREAS!$I$37="Despliegue documentado","D","L")),""))</f>
        <v/>
      </c>
      <c r="N9" s="15" t="str">
        <f>IF(TAREAS!$I$37="Propuesta",IF(AND(N$7&gt;=TAREAS!$G$37,N$7&lt;=TAREAS!$H$37,CALENDARIO!$C$48=1),"P",""),IF(ISNUMBER(SEARCH(TEXT(N$7,"yyyy-mm-dd"),TAREAS!$J$37)),IF(TAREAS!$I$37="Registro Git","R",IF(TAREAS!$I$37="Despliegue documentado","D","L")),""))</f>
        <v/>
      </c>
      <c r="O9" s="15" t="str">
        <f>IF(TAREAS!$I$37="Propuesta",IF(AND(O$7&gt;=TAREAS!$G$37,O$7&lt;=TAREAS!$H$37,CALENDARIO!$C$49=1),"P",""),IF(ISNUMBER(SEARCH(TEXT(O$7,"yyyy-mm-dd"),TAREAS!$J$37)),IF(TAREAS!$I$37="Registro Git","R",IF(TAREAS!$I$37="Despliegue documentado","D","L")),""))</f>
        <v/>
      </c>
      <c r="P9" s="14" t="str">
        <f>IF(TAREAS!$I$37="Propuesta",IF(AND(P$7&gt;=TAREAS!$G$37,P$7&lt;=TAREAS!$H$37,CALENDARIO!$C$50=1),"P",""),IF(ISNUMBER(SEARCH(TEXT(P$7,"yyyy-mm-dd"),TAREAS!$J$37)),IF(TAREAS!$I$37="Registro Git","R",IF(TAREAS!$I$37="Despliegue documentado","D","L")),""))</f>
        <v/>
      </c>
      <c r="Q9" s="14" t="str">
        <f>IF(TAREAS!$I$37="Propuesta",IF(AND(Q$7&gt;=TAREAS!$G$37,Q$7&lt;=TAREAS!$H$37,CALENDARIO!$C$51=1),"P",""),IF(ISNUMBER(SEARCH(TEXT(Q$7,"yyyy-mm-dd"),TAREAS!$J$37)),IF(TAREAS!$I$37="Registro Git","R",IF(TAREAS!$I$37="Despliegue documentado","D","L")),""))</f>
        <v/>
      </c>
      <c r="R9" s="14" t="str">
        <f>IF(TAREAS!$I$37="Propuesta",IF(AND(R$7&gt;=TAREAS!$G$37,R$7&lt;=TAREAS!$H$37,CALENDARIO!$C$52=1),"P",""),IF(ISNUMBER(SEARCH(TEXT(R$7,"yyyy-mm-dd"),TAREAS!$J$37)),IF(TAREAS!$I$37="Registro Git","R",IF(TAREAS!$I$37="Despliegue documentado","D","L")),""))</f>
        <v/>
      </c>
      <c r="S9" s="14" t="str">
        <f>IF(TAREAS!$I$37="Propuesta",IF(AND(S$7&gt;=TAREAS!$G$37,S$7&lt;=TAREAS!$H$37,CALENDARIO!$C$53=1),"P",""),IF(ISNUMBER(SEARCH(TEXT(S$7,"yyyy-mm-dd"),TAREAS!$J$37)),IF(TAREAS!$I$37="Registro Git","R",IF(TAREAS!$I$37="Despliegue documentado","D","L")),""))</f>
        <v/>
      </c>
      <c r="T9" s="14" t="str">
        <f>IF(TAREAS!$I$37="Propuesta",IF(AND(T$7&gt;=TAREAS!$G$37,T$7&lt;=TAREAS!$H$37,CALENDARIO!$C$54=1),"P",""),IF(ISNUMBER(SEARCH(TEXT(T$7,"yyyy-mm-dd"),TAREAS!$J$37)),IF(TAREAS!$I$37="Registro Git","R",IF(TAREAS!$I$37="Despliegue documentado","D","L")),""))</f>
        <v/>
      </c>
      <c r="U9" s="15" t="str">
        <f>IF(TAREAS!$I$37="Propuesta",IF(AND(U$7&gt;=TAREAS!$G$37,U$7&lt;=TAREAS!$H$37,CALENDARIO!$C$55=1),"P",""),IF(ISNUMBER(SEARCH(TEXT(U$7,"yyyy-mm-dd"),TAREAS!$J$37)),IF(TAREAS!$I$37="Registro Git","R",IF(TAREAS!$I$37="Despliegue documentado","D","L")),""))</f>
        <v/>
      </c>
      <c r="V9" s="15" t="str">
        <f>IF(TAREAS!$I$37="Propuesta",IF(AND(V$7&gt;=TAREAS!$G$37,V$7&lt;=TAREAS!$H$37,CALENDARIO!$C$56=1),"P",""),IF(ISNUMBER(SEARCH(TEXT(V$7,"yyyy-mm-dd"),TAREAS!$J$37)),IF(TAREAS!$I$37="Registro Git","R",IF(TAREAS!$I$37="Despliegue documentado","D","L")),""))</f>
        <v/>
      </c>
      <c r="W9" s="14" t="str">
        <f>IF(TAREAS!$I$37="Propuesta",IF(AND(W$7&gt;=TAREAS!$G$37,W$7&lt;=TAREAS!$H$37,CALENDARIO!$C$57=1),"P",""),IF(ISNUMBER(SEARCH(TEXT(W$7,"yyyy-mm-dd"),TAREAS!$J$37)),IF(TAREAS!$I$37="Registro Git","R",IF(TAREAS!$I$37="Despliegue documentado","D","L")),""))</f>
        <v/>
      </c>
      <c r="X9" s="14" t="str">
        <f>IF(TAREAS!$I$37="Propuesta",IF(AND(X$7&gt;=TAREAS!$G$37,X$7&lt;=TAREAS!$H$37,CALENDARIO!$C$58=1),"P",""),IF(ISNUMBER(SEARCH(TEXT(X$7,"yyyy-mm-dd"),TAREAS!$J$37)),IF(TAREAS!$I$37="Registro Git","R",IF(TAREAS!$I$37="Despliegue documentado","D","L")),""))</f>
        <v/>
      </c>
      <c r="Y9" s="14" t="str">
        <f>IF(TAREAS!$I$37="Propuesta",IF(AND(Y$7&gt;=TAREAS!$G$37,Y$7&lt;=TAREAS!$H$37,CALENDARIO!$C$59=1),"P",""),IF(ISNUMBER(SEARCH(TEXT(Y$7,"yyyy-mm-dd"),TAREAS!$J$37)),IF(TAREAS!$I$37="Registro Git","R",IF(TAREAS!$I$37="Despliegue documentado","D","L")),""))</f>
        <v/>
      </c>
      <c r="Z9" s="14" t="str">
        <f>IF(TAREAS!$I$37="Propuesta",IF(AND(Z$7&gt;=TAREAS!$G$37,Z$7&lt;=TAREAS!$H$37,CALENDARIO!$C$60=1),"P",""),IF(ISNUMBER(SEARCH(TEXT(Z$7,"yyyy-mm-dd"),TAREAS!$J$37)),IF(TAREAS!$I$37="Registro Git","R",IF(TAREAS!$I$37="Despliegue documentado","D","L")),""))</f>
        <v/>
      </c>
      <c r="AA9" s="14" t="str">
        <f>IF(TAREAS!$I$37="Propuesta",IF(AND(AA$7&gt;=TAREAS!$G$37,AA$7&lt;=TAREAS!$H$37,CALENDARIO!$C$61=1),"P",""),IF(ISNUMBER(SEARCH(TEXT(AA$7,"yyyy-mm-dd"),TAREAS!$J$37)),IF(TAREAS!$I$37="Registro Git","R",IF(TAREAS!$I$37="Despliegue documentado","D","L")),""))</f>
        <v/>
      </c>
      <c r="AB9" s="15" t="str">
        <f>IF(TAREAS!$I$37="Propuesta",IF(AND(AB$7&gt;=TAREAS!$G$37,AB$7&lt;=TAREAS!$H$37,CALENDARIO!$C$62=1),"P",""),IF(ISNUMBER(SEARCH(TEXT(AB$7,"yyyy-mm-dd"),TAREAS!$J$37)),IF(TAREAS!$I$37="Registro Git","R",IF(TAREAS!$I$37="Despliegue documentado","D","L")),""))</f>
        <v/>
      </c>
      <c r="AC9" s="15" t="str">
        <f>IF(TAREAS!$I$37="Propuesta",IF(AND(AC$7&gt;=TAREAS!$G$37,AC$7&lt;=TAREAS!$H$37,CALENDARIO!$C$63=1),"P",""),IF(ISNUMBER(SEARCH(TEXT(AC$7,"yyyy-mm-dd"),TAREAS!$J$37)),IF(TAREAS!$I$37="Registro Git","R",IF(TAREAS!$I$37="Despliegue documentado","D","L")),""))</f>
        <v/>
      </c>
      <c r="AD9" s="14" t="str">
        <f>IF(TAREAS!$I$37="Propuesta",IF(AND(AD$7&gt;=TAREAS!$G$37,AD$7&lt;=TAREAS!$H$37,CALENDARIO!$C$64=1),"P",""),IF(ISNUMBER(SEARCH(TEXT(AD$7,"yyyy-mm-dd"),TAREAS!$J$37)),IF(TAREAS!$I$37="Registro Git","R",IF(TAREAS!$I$37="Despliegue documentado","D","L")),""))</f>
        <v/>
      </c>
      <c r="AE9" s="14" t="str">
        <f>IF(TAREAS!$I$37="Propuesta",IF(AND(AE$7&gt;=TAREAS!$G$37,AE$7&lt;=TAREAS!$H$37,CALENDARIO!$C$65=1),"P",""),IF(ISNUMBER(SEARCH(TEXT(AE$7,"yyyy-mm-dd"),TAREAS!$J$37)),IF(TAREAS!$I$37="Registro Git","R",IF(TAREAS!$I$37="Despliegue documentado","D","L")),""))</f>
        <v/>
      </c>
      <c r="AF9" s="14" t="str">
        <f>IF(TAREAS!$I$37="Propuesta",IF(AND(AF$7&gt;=TAREAS!$G$37,AF$7&lt;=TAREAS!$H$37,CALENDARIO!$C$66=1),"P",""),IF(ISNUMBER(SEARCH(TEXT(AF$7,"yyyy-mm-dd"),TAREAS!$J$37)),IF(TAREAS!$I$37="Registro Git","R",IF(TAREAS!$I$37="Despliegue documentado","D","L")),""))</f>
        <v/>
      </c>
      <c r="AG9" s="14" t="str">
        <f>IF(TAREAS!$I$37="Propuesta",IF(AND(AG$7&gt;=TAREAS!$G$37,AG$7&lt;=TAREAS!$H$37,CALENDARIO!$C$67=1),"P",""),IF(ISNUMBER(SEARCH(TEXT(AG$7,"yyyy-mm-dd"),TAREAS!$J$37)),IF(TAREAS!$I$37="Registro Git","R",IF(TAREAS!$I$37="Despliegue documentado","D","L")),""))</f>
        <v/>
      </c>
      <c r="AH9" s="14" t="str">
        <f>IF(TAREAS!$I$37="Propuesta",IF(AND(AH$7&gt;=TAREAS!$G$37,AH$7&lt;=TAREAS!$H$37,CALENDARIO!$C$68=1),"P",""),IF(ISNUMBER(SEARCH(TEXT(AH$7,"yyyy-mm-dd"),TAREAS!$J$37)),IF(TAREAS!$I$37="Registro Git","R",IF(TAREAS!$I$37="Despliegue documentado","D","L")),""))</f>
        <v/>
      </c>
      <c r="AI9" s="15" t="str">
        <f>IF(TAREAS!$I$37="Propuesta",IF(AND(AI$7&gt;=TAREAS!$G$37,AI$7&lt;=TAREAS!$H$37,CALENDARIO!$C$69=1),"P",""),IF(ISNUMBER(SEARCH(TEXT(AI$7,"yyyy-mm-dd"),TAREAS!$J$37)),IF(TAREAS!$I$37="Registro Git","R",IF(TAREAS!$I$37="Despliegue documentado","D","L")),""))</f>
        <v/>
      </c>
    </row>
    <row r="10" spans="1:35" ht="72" customHeight="1" x14ac:dyDescent="0.25">
      <c r="A10" s="18" t="str">
        <f>TAREAS!C38</f>
        <v>HU-G10 · Como responsable de área, quiero actualizar equipo, horarios y necesidades.</v>
      </c>
      <c r="B10" s="12" t="str">
        <f>TAREAS!A38&amp;" · "&amp;TAREAS!D38</f>
        <v>T-034 · Revisar y actualizar configuración del área: Psicología organizacional</v>
      </c>
      <c r="C10" s="12" t="str">
        <f>TAREAS!F38</f>
        <v>Sistemas + responsable del área</v>
      </c>
      <c r="D10" s="13">
        <f t="shared" si="0"/>
        <v>2</v>
      </c>
      <c r="E10" s="14" t="str">
        <f>IF(TAREAS!$I$38="Propuesta",IF(AND(E$7&gt;=TAREAS!$G$38,E$7&lt;=TAREAS!$H$38,CALENDARIO!$C$39=1),"P",""),IF(ISNUMBER(SEARCH(TEXT(E$7,"yyyy-mm-dd"),TAREAS!$J$38)),IF(TAREAS!$I$38="Registro Git","R",IF(TAREAS!$I$38="Despliegue documentado","D","L")),""))</f>
        <v/>
      </c>
      <c r="F10" s="14" t="str">
        <f>IF(TAREAS!$I$38="Propuesta",IF(AND(F$7&gt;=TAREAS!$G$38,F$7&lt;=TAREAS!$H$38,CALENDARIO!$C$40=1),"P",""),IF(ISNUMBER(SEARCH(TEXT(F$7,"yyyy-mm-dd"),TAREAS!$J$38)),IF(TAREAS!$I$38="Registro Git","R",IF(TAREAS!$I$38="Despliegue documentado","D","L")),""))</f>
        <v/>
      </c>
      <c r="G10" s="15" t="str">
        <f>IF(TAREAS!$I$38="Propuesta",IF(AND(G$7&gt;=TAREAS!$G$38,G$7&lt;=TAREAS!$H$38,CALENDARIO!$C$41=1),"P",""),IF(ISNUMBER(SEARCH(TEXT(G$7,"yyyy-mm-dd"),TAREAS!$J$38)),IF(TAREAS!$I$38="Registro Git","R",IF(TAREAS!$I$38="Despliegue documentado","D","L")),""))</f>
        <v/>
      </c>
      <c r="H10" s="15" t="str">
        <f>IF(TAREAS!$I$38="Propuesta",IF(AND(H$7&gt;=TAREAS!$G$38,H$7&lt;=TAREAS!$H$38,CALENDARIO!$C$42=1),"P",""),IF(ISNUMBER(SEARCH(TEXT(H$7,"yyyy-mm-dd"),TAREAS!$J$38)),IF(TAREAS!$I$38="Registro Git","R",IF(TAREAS!$I$38="Despliegue documentado","D","L")),""))</f>
        <v/>
      </c>
      <c r="I10" s="14" t="str">
        <f>IF(TAREAS!$I$38="Propuesta",IF(AND(I$7&gt;=TAREAS!$G$38,I$7&lt;=TAREAS!$H$38,CALENDARIO!$C$43=1),"P",""),IF(ISNUMBER(SEARCH(TEXT(I$7,"yyyy-mm-dd"),TAREAS!$J$38)),IF(TAREAS!$I$38="Registro Git","R",IF(TAREAS!$I$38="Despliegue documentado","D","L")),""))</f>
        <v>P</v>
      </c>
      <c r="J10" s="14" t="str">
        <f>IF(TAREAS!$I$38="Propuesta",IF(AND(J$7&gt;=TAREAS!$G$38,J$7&lt;=TAREAS!$H$38,CALENDARIO!$C$44=1),"P",""),IF(ISNUMBER(SEARCH(TEXT(J$7,"yyyy-mm-dd"),TAREAS!$J$38)),IF(TAREAS!$I$38="Registro Git","R",IF(TAREAS!$I$38="Despliegue documentado","D","L")),""))</f>
        <v>P</v>
      </c>
      <c r="K10" s="14" t="str">
        <f>IF(TAREAS!$I$38="Propuesta",IF(AND(K$7&gt;=TAREAS!$G$38,K$7&lt;=TAREAS!$H$38,CALENDARIO!$C$45=1),"P",""),IF(ISNUMBER(SEARCH(TEXT(K$7,"yyyy-mm-dd"),TAREAS!$J$38)),IF(TAREAS!$I$38="Registro Git","R",IF(TAREAS!$I$38="Despliegue documentado","D","L")),""))</f>
        <v/>
      </c>
      <c r="L10" s="15" t="str">
        <f>IF(TAREAS!$I$38="Propuesta",IF(AND(L$7&gt;=TAREAS!$G$38,L$7&lt;=TAREAS!$H$38,CALENDARIO!$C$46=1),"P",""),IF(ISNUMBER(SEARCH(TEXT(L$7,"yyyy-mm-dd"),TAREAS!$J$38)),IF(TAREAS!$I$38="Registro Git","R",IF(TAREAS!$I$38="Despliegue documentado","D","L")),""))</f>
        <v/>
      </c>
      <c r="M10" s="14" t="str">
        <f>IF(TAREAS!$I$38="Propuesta",IF(AND(M$7&gt;=TAREAS!$G$38,M$7&lt;=TAREAS!$H$38,CALENDARIO!$C$47=1),"P",""),IF(ISNUMBER(SEARCH(TEXT(M$7,"yyyy-mm-dd"),TAREAS!$J$38)),IF(TAREAS!$I$38="Registro Git","R",IF(TAREAS!$I$38="Despliegue documentado","D","L")),""))</f>
        <v/>
      </c>
      <c r="N10" s="15" t="str">
        <f>IF(TAREAS!$I$38="Propuesta",IF(AND(N$7&gt;=TAREAS!$G$38,N$7&lt;=TAREAS!$H$38,CALENDARIO!$C$48=1),"P",""),IF(ISNUMBER(SEARCH(TEXT(N$7,"yyyy-mm-dd"),TAREAS!$J$38)),IF(TAREAS!$I$38="Registro Git","R",IF(TAREAS!$I$38="Despliegue documentado","D","L")),""))</f>
        <v/>
      </c>
      <c r="O10" s="15" t="str">
        <f>IF(TAREAS!$I$38="Propuesta",IF(AND(O$7&gt;=TAREAS!$G$38,O$7&lt;=TAREAS!$H$38,CALENDARIO!$C$49=1),"P",""),IF(ISNUMBER(SEARCH(TEXT(O$7,"yyyy-mm-dd"),TAREAS!$J$38)),IF(TAREAS!$I$38="Registro Git","R",IF(TAREAS!$I$38="Despliegue documentado","D","L")),""))</f>
        <v/>
      </c>
      <c r="P10" s="14" t="str">
        <f>IF(TAREAS!$I$38="Propuesta",IF(AND(P$7&gt;=TAREAS!$G$38,P$7&lt;=TAREAS!$H$38,CALENDARIO!$C$50=1),"P",""),IF(ISNUMBER(SEARCH(TEXT(P$7,"yyyy-mm-dd"),TAREAS!$J$38)),IF(TAREAS!$I$38="Registro Git","R",IF(TAREAS!$I$38="Despliegue documentado","D","L")),""))</f>
        <v/>
      </c>
      <c r="Q10" s="14" t="str">
        <f>IF(TAREAS!$I$38="Propuesta",IF(AND(Q$7&gt;=TAREAS!$G$38,Q$7&lt;=TAREAS!$H$38,CALENDARIO!$C$51=1),"P",""),IF(ISNUMBER(SEARCH(TEXT(Q$7,"yyyy-mm-dd"),TAREAS!$J$38)),IF(TAREAS!$I$38="Registro Git","R",IF(TAREAS!$I$38="Despliegue documentado","D","L")),""))</f>
        <v/>
      </c>
      <c r="R10" s="14" t="str">
        <f>IF(TAREAS!$I$38="Propuesta",IF(AND(R$7&gt;=TAREAS!$G$38,R$7&lt;=TAREAS!$H$38,CALENDARIO!$C$52=1),"P",""),IF(ISNUMBER(SEARCH(TEXT(R$7,"yyyy-mm-dd"),TAREAS!$J$38)),IF(TAREAS!$I$38="Registro Git","R",IF(TAREAS!$I$38="Despliegue documentado","D","L")),""))</f>
        <v/>
      </c>
      <c r="S10" s="14" t="str">
        <f>IF(TAREAS!$I$38="Propuesta",IF(AND(S$7&gt;=TAREAS!$G$38,S$7&lt;=TAREAS!$H$38,CALENDARIO!$C$53=1),"P",""),IF(ISNUMBER(SEARCH(TEXT(S$7,"yyyy-mm-dd"),TAREAS!$J$38)),IF(TAREAS!$I$38="Registro Git","R",IF(TAREAS!$I$38="Despliegue documentado","D","L")),""))</f>
        <v/>
      </c>
      <c r="T10" s="14" t="str">
        <f>IF(TAREAS!$I$38="Propuesta",IF(AND(T$7&gt;=TAREAS!$G$38,T$7&lt;=TAREAS!$H$38,CALENDARIO!$C$54=1),"P",""),IF(ISNUMBER(SEARCH(TEXT(T$7,"yyyy-mm-dd"),TAREAS!$J$38)),IF(TAREAS!$I$38="Registro Git","R",IF(TAREAS!$I$38="Despliegue documentado","D","L")),""))</f>
        <v/>
      </c>
      <c r="U10" s="15" t="str">
        <f>IF(TAREAS!$I$38="Propuesta",IF(AND(U$7&gt;=TAREAS!$G$38,U$7&lt;=TAREAS!$H$38,CALENDARIO!$C$55=1),"P",""),IF(ISNUMBER(SEARCH(TEXT(U$7,"yyyy-mm-dd"),TAREAS!$J$38)),IF(TAREAS!$I$38="Registro Git","R",IF(TAREAS!$I$38="Despliegue documentado","D","L")),""))</f>
        <v/>
      </c>
      <c r="V10" s="15" t="str">
        <f>IF(TAREAS!$I$38="Propuesta",IF(AND(V$7&gt;=TAREAS!$G$38,V$7&lt;=TAREAS!$H$38,CALENDARIO!$C$56=1),"P",""),IF(ISNUMBER(SEARCH(TEXT(V$7,"yyyy-mm-dd"),TAREAS!$J$38)),IF(TAREAS!$I$38="Registro Git","R",IF(TAREAS!$I$38="Despliegue documentado","D","L")),""))</f>
        <v/>
      </c>
      <c r="W10" s="14" t="str">
        <f>IF(TAREAS!$I$38="Propuesta",IF(AND(W$7&gt;=TAREAS!$G$38,W$7&lt;=TAREAS!$H$38,CALENDARIO!$C$57=1),"P",""),IF(ISNUMBER(SEARCH(TEXT(W$7,"yyyy-mm-dd"),TAREAS!$J$38)),IF(TAREAS!$I$38="Registro Git","R",IF(TAREAS!$I$38="Despliegue documentado","D","L")),""))</f>
        <v/>
      </c>
      <c r="X10" s="14" t="str">
        <f>IF(TAREAS!$I$38="Propuesta",IF(AND(X$7&gt;=TAREAS!$G$38,X$7&lt;=TAREAS!$H$38,CALENDARIO!$C$58=1),"P",""),IF(ISNUMBER(SEARCH(TEXT(X$7,"yyyy-mm-dd"),TAREAS!$J$38)),IF(TAREAS!$I$38="Registro Git","R",IF(TAREAS!$I$38="Despliegue documentado","D","L")),""))</f>
        <v/>
      </c>
      <c r="Y10" s="14" t="str">
        <f>IF(TAREAS!$I$38="Propuesta",IF(AND(Y$7&gt;=TAREAS!$G$38,Y$7&lt;=TAREAS!$H$38,CALENDARIO!$C$59=1),"P",""),IF(ISNUMBER(SEARCH(TEXT(Y$7,"yyyy-mm-dd"),TAREAS!$J$38)),IF(TAREAS!$I$38="Registro Git","R",IF(TAREAS!$I$38="Despliegue documentado","D","L")),""))</f>
        <v/>
      </c>
      <c r="Z10" s="14" t="str">
        <f>IF(TAREAS!$I$38="Propuesta",IF(AND(Z$7&gt;=TAREAS!$G$38,Z$7&lt;=TAREAS!$H$38,CALENDARIO!$C$60=1),"P",""),IF(ISNUMBER(SEARCH(TEXT(Z$7,"yyyy-mm-dd"),TAREAS!$J$38)),IF(TAREAS!$I$38="Registro Git","R",IF(TAREAS!$I$38="Despliegue documentado","D","L")),""))</f>
        <v/>
      </c>
      <c r="AA10" s="14" t="str">
        <f>IF(TAREAS!$I$38="Propuesta",IF(AND(AA$7&gt;=TAREAS!$G$38,AA$7&lt;=TAREAS!$H$38,CALENDARIO!$C$61=1),"P",""),IF(ISNUMBER(SEARCH(TEXT(AA$7,"yyyy-mm-dd"),TAREAS!$J$38)),IF(TAREAS!$I$38="Registro Git","R",IF(TAREAS!$I$38="Despliegue documentado","D","L")),""))</f>
        <v/>
      </c>
      <c r="AB10" s="15" t="str">
        <f>IF(TAREAS!$I$38="Propuesta",IF(AND(AB$7&gt;=TAREAS!$G$38,AB$7&lt;=TAREAS!$H$38,CALENDARIO!$C$62=1),"P",""),IF(ISNUMBER(SEARCH(TEXT(AB$7,"yyyy-mm-dd"),TAREAS!$J$38)),IF(TAREAS!$I$38="Registro Git","R",IF(TAREAS!$I$38="Despliegue documentado","D","L")),""))</f>
        <v/>
      </c>
      <c r="AC10" s="15" t="str">
        <f>IF(TAREAS!$I$38="Propuesta",IF(AND(AC$7&gt;=TAREAS!$G$38,AC$7&lt;=TAREAS!$H$38,CALENDARIO!$C$63=1),"P",""),IF(ISNUMBER(SEARCH(TEXT(AC$7,"yyyy-mm-dd"),TAREAS!$J$38)),IF(TAREAS!$I$38="Registro Git","R",IF(TAREAS!$I$38="Despliegue documentado","D","L")),""))</f>
        <v/>
      </c>
      <c r="AD10" s="14" t="str">
        <f>IF(TAREAS!$I$38="Propuesta",IF(AND(AD$7&gt;=TAREAS!$G$38,AD$7&lt;=TAREAS!$H$38,CALENDARIO!$C$64=1),"P",""),IF(ISNUMBER(SEARCH(TEXT(AD$7,"yyyy-mm-dd"),TAREAS!$J$38)),IF(TAREAS!$I$38="Registro Git","R",IF(TAREAS!$I$38="Despliegue documentado","D","L")),""))</f>
        <v/>
      </c>
      <c r="AE10" s="14" t="str">
        <f>IF(TAREAS!$I$38="Propuesta",IF(AND(AE$7&gt;=TAREAS!$G$38,AE$7&lt;=TAREAS!$H$38,CALENDARIO!$C$65=1),"P",""),IF(ISNUMBER(SEARCH(TEXT(AE$7,"yyyy-mm-dd"),TAREAS!$J$38)),IF(TAREAS!$I$38="Registro Git","R",IF(TAREAS!$I$38="Despliegue documentado","D","L")),""))</f>
        <v/>
      </c>
      <c r="AF10" s="14" t="str">
        <f>IF(TAREAS!$I$38="Propuesta",IF(AND(AF$7&gt;=TAREAS!$G$38,AF$7&lt;=TAREAS!$H$38,CALENDARIO!$C$66=1),"P",""),IF(ISNUMBER(SEARCH(TEXT(AF$7,"yyyy-mm-dd"),TAREAS!$J$38)),IF(TAREAS!$I$38="Registro Git","R",IF(TAREAS!$I$38="Despliegue documentado","D","L")),""))</f>
        <v/>
      </c>
      <c r="AG10" s="14" t="str">
        <f>IF(TAREAS!$I$38="Propuesta",IF(AND(AG$7&gt;=TAREAS!$G$38,AG$7&lt;=TAREAS!$H$38,CALENDARIO!$C$67=1),"P",""),IF(ISNUMBER(SEARCH(TEXT(AG$7,"yyyy-mm-dd"),TAREAS!$J$38)),IF(TAREAS!$I$38="Registro Git","R",IF(TAREAS!$I$38="Despliegue documentado","D","L")),""))</f>
        <v/>
      </c>
      <c r="AH10" s="14" t="str">
        <f>IF(TAREAS!$I$38="Propuesta",IF(AND(AH$7&gt;=TAREAS!$G$38,AH$7&lt;=TAREAS!$H$38,CALENDARIO!$C$68=1),"P",""),IF(ISNUMBER(SEARCH(TEXT(AH$7,"yyyy-mm-dd"),TAREAS!$J$38)),IF(TAREAS!$I$38="Registro Git","R",IF(TAREAS!$I$38="Despliegue documentado","D","L")),""))</f>
        <v/>
      </c>
      <c r="AI10" s="15" t="str">
        <f>IF(TAREAS!$I$38="Propuesta",IF(AND(AI$7&gt;=TAREAS!$G$38,AI$7&lt;=TAREAS!$H$38,CALENDARIO!$C$69=1),"P",""),IF(ISNUMBER(SEARCH(TEXT(AI$7,"yyyy-mm-dd"),TAREAS!$J$38)),IF(TAREAS!$I$38="Registro Git","R",IF(TAREAS!$I$38="Despliegue documentado","D","L")),""))</f>
        <v/>
      </c>
    </row>
    <row r="11" spans="1:35" ht="72" customHeight="1" x14ac:dyDescent="0.25">
      <c r="A11" s="18" t="str">
        <f>TAREAS!C39</f>
        <v>HU-G10 · Como responsable de área, quiero actualizar equipo, horarios y necesidades.</v>
      </c>
      <c r="B11" s="12" t="str">
        <f>TAREAS!A39&amp;" · "&amp;TAREAS!D39</f>
        <v>T-035 · Revisar y actualizar configuración del área: Recursos Humanos</v>
      </c>
      <c r="C11" s="12" t="str">
        <f>TAREAS!F39</f>
        <v>Sistemas + responsable del área</v>
      </c>
      <c r="D11" s="13">
        <f t="shared" si="0"/>
        <v>2</v>
      </c>
      <c r="E11" s="14" t="str">
        <f>IF(TAREAS!$I$39="Propuesta",IF(AND(E$7&gt;=TAREAS!$G$39,E$7&lt;=TAREAS!$H$39,CALENDARIO!$C$39=1),"P",""),IF(ISNUMBER(SEARCH(TEXT(E$7,"yyyy-mm-dd"),TAREAS!$J$39)),IF(TAREAS!$I$39="Registro Git","R",IF(TAREAS!$I$39="Despliegue documentado","D","L")),""))</f>
        <v/>
      </c>
      <c r="F11" s="14" t="str">
        <f>IF(TAREAS!$I$39="Propuesta",IF(AND(F$7&gt;=TAREAS!$G$39,F$7&lt;=TAREAS!$H$39,CALENDARIO!$C$40=1),"P",""),IF(ISNUMBER(SEARCH(TEXT(F$7,"yyyy-mm-dd"),TAREAS!$J$39)),IF(TAREAS!$I$39="Registro Git","R",IF(TAREAS!$I$39="Despliegue documentado","D","L")),""))</f>
        <v/>
      </c>
      <c r="G11" s="15" t="str">
        <f>IF(TAREAS!$I$39="Propuesta",IF(AND(G$7&gt;=TAREAS!$G$39,G$7&lt;=TAREAS!$H$39,CALENDARIO!$C$41=1),"P",""),IF(ISNUMBER(SEARCH(TEXT(G$7,"yyyy-mm-dd"),TAREAS!$J$39)),IF(TAREAS!$I$39="Registro Git","R",IF(TAREAS!$I$39="Despliegue documentado","D","L")),""))</f>
        <v/>
      </c>
      <c r="H11" s="15" t="str">
        <f>IF(TAREAS!$I$39="Propuesta",IF(AND(H$7&gt;=TAREAS!$G$39,H$7&lt;=TAREAS!$H$39,CALENDARIO!$C$42=1),"P",""),IF(ISNUMBER(SEARCH(TEXT(H$7,"yyyy-mm-dd"),TAREAS!$J$39)),IF(TAREAS!$I$39="Registro Git","R",IF(TAREAS!$I$39="Despliegue documentado","D","L")),""))</f>
        <v/>
      </c>
      <c r="I11" s="14" t="str">
        <f>IF(TAREAS!$I$39="Propuesta",IF(AND(I$7&gt;=TAREAS!$G$39,I$7&lt;=TAREAS!$H$39,CALENDARIO!$C$43=1),"P",""),IF(ISNUMBER(SEARCH(TEXT(I$7,"yyyy-mm-dd"),TAREAS!$J$39)),IF(TAREAS!$I$39="Registro Git","R",IF(TAREAS!$I$39="Despliegue documentado","D","L")),""))</f>
        <v/>
      </c>
      <c r="J11" s="14" t="str">
        <f>IF(TAREAS!$I$39="Propuesta",IF(AND(J$7&gt;=TAREAS!$G$39,J$7&lt;=TAREAS!$H$39,CALENDARIO!$C$44=1),"P",""),IF(ISNUMBER(SEARCH(TEXT(J$7,"yyyy-mm-dd"),TAREAS!$J$39)),IF(TAREAS!$I$39="Registro Git","R",IF(TAREAS!$I$39="Despliegue documentado","D","L")),""))</f>
        <v/>
      </c>
      <c r="K11" s="14" t="str">
        <f>IF(TAREAS!$I$39="Propuesta",IF(AND(K$7&gt;=TAREAS!$G$39,K$7&lt;=TAREAS!$H$39,CALENDARIO!$C$45=1),"P",""),IF(ISNUMBER(SEARCH(TEXT(K$7,"yyyy-mm-dd"),TAREAS!$J$39)),IF(TAREAS!$I$39="Registro Git","R",IF(TAREAS!$I$39="Despliegue documentado","D","L")),""))</f>
        <v>P</v>
      </c>
      <c r="L11" s="15" t="str">
        <f>IF(TAREAS!$I$39="Propuesta",IF(AND(L$7&gt;=TAREAS!$G$39,L$7&lt;=TAREAS!$H$39,CALENDARIO!$C$46=1),"P",""),IF(ISNUMBER(SEARCH(TEXT(L$7,"yyyy-mm-dd"),TAREAS!$J$39)),IF(TAREAS!$I$39="Registro Git","R",IF(TAREAS!$I$39="Despliegue documentado","D","L")),""))</f>
        <v/>
      </c>
      <c r="M11" s="14" t="str">
        <f>IF(TAREAS!$I$39="Propuesta",IF(AND(M$7&gt;=TAREAS!$G$39,M$7&lt;=TAREAS!$H$39,CALENDARIO!$C$47=1),"P",""),IF(ISNUMBER(SEARCH(TEXT(M$7,"yyyy-mm-dd"),TAREAS!$J$39)),IF(TAREAS!$I$39="Registro Git","R",IF(TAREAS!$I$39="Despliegue documentado","D","L")),""))</f>
        <v>P</v>
      </c>
      <c r="N11" s="15" t="str">
        <f>IF(TAREAS!$I$39="Propuesta",IF(AND(N$7&gt;=TAREAS!$G$39,N$7&lt;=TAREAS!$H$39,CALENDARIO!$C$48=1),"P",""),IF(ISNUMBER(SEARCH(TEXT(N$7,"yyyy-mm-dd"),TAREAS!$J$39)),IF(TAREAS!$I$39="Registro Git","R",IF(TAREAS!$I$39="Despliegue documentado","D","L")),""))</f>
        <v/>
      </c>
      <c r="O11" s="15" t="str">
        <f>IF(TAREAS!$I$39="Propuesta",IF(AND(O$7&gt;=TAREAS!$G$39,O$7&lt;=TAREAS!$H$39,CALENDARIO!$C$49=1),"P",""),IF(ISNUMBER(SEARCH(TEXT(O$7,"yyyy-mm-dd"),TAREAS!$J$39)),IF(TAREAS!$I$39="Registro Git","R",IF(TAREAS!$I$39="Despliegue documentado","D","L")),""))</f>
        <v/>
      </c>
      <c r="P11" s="14" t="str">
        <f>IF(TAREAS!$I$39="Propuesta",IF(AND(P$7&gt;=TAREAS!$G$39,P$7&lt;=TAREAS!$H$39,CALENDARIO!$C$50=1),"P",""),IF(ISNUMBER(SEARCH(TEXT(P$7,"yyyy-mm-dd"),TAREAS!$J$39)),IF(TAREAS!$I$39="Registro Git","R",IF(TAREAS!$I$39="Despliegue documentado","D","L")),""))</f>
        <v/>
      </c>
      <c r="Q11" s="14" t="str">
        <f>IF(TAREAS!$I$39="Propuesta",IF(AND(Q$7&gt;=TAREAS!$G$39,Q$7&lt;=TAREAS!$H$39,CALENDARIO!$C$51=1),"P",""),IF(ISNUMBER(SEARCH(TEXT(Q$7,"yyyy-mm-dd"),TAREAS!$J$39)),IF(TAREAS!$I$39="Registro Git","R",IF(TAREAS!$I$39="Despliegue documentado","D","L")),""))</f>
        <v/>
      </c>
      <c r="R11" s="14" t="str">
        <f>IF(TAREAS!$I$39="Propuesta",IF(AND(R$7&gt;=TAREAS!$G$39,R$7&lt;=TAREAS!$H$39,CALENDARIO!$C$52=1),"P",""),IF(ISNUMBER(SEARCH(TEXT(R$7,"yyyy-mm-dd"),TAREAS!$J$39)),IF(TAREAS!$I$39="Registro Git","R",IF(TAREAS!$I$39="Despliegue documentado","D","L")),""))</f>
        <v/>
      </c>
      <c r="S11" s="14" t="str">
        <f>IF(TAREAS!$I$39="Propuesta",IF(AND(S$7&gt;=TAREAS!$G$39,S$7&lt;=TAREAS!$H$39,CALENDARIO!$C$53=1),"P",""),IF(ISNUMBER(SEARCH(TEXT(S$7,"yyyy-mm-dd"),TAREAS!$J$39)),IF(TAREAS!$I$39="Registro Git","R",IF(TAREAS!$I$39="Despliegue documentado","D","L")),""))</f>
        <v/>
      </c>
      <c r="T11" s="14" t="str">
        <f>IF(TAREAS!$I$39="Propuesta",IF(AND(T$7&gt;=TAREAS!$G$39,T$7&lt;=TAREAS!$H$39,CALENDARIO!$C$54=1),"P",""),IF(ISNUMBER(SEARCH(TEXT(T$7,"yyyy-mm-dd"),TAREAS!$J$39)),IF(TAREAS!$I$39="Registro Git","R",IF(TAREAS!$I$39="Despliegue documentado","D","L")),""))</f>
        <v/>
      </c>
      <c r="U11" s="15" t="str">
        <f>IF(TAREAS!$I$39="Propuesta",IF(AND(U$7&gt;=TAREAS!$G$39,U$7&lt;=TAREAS!$H$39,CALENDARIO!$C$55=1),"P",""),IF(ISNUMBER(SEARCH(TEXT(U$7,"yyyy-mm-dd"),TAREAS!$J$39)),IF(TAREAS!$I$39="Registro Git","R",IF(TAREAS!$I$39="Despliegue documentado","D","L")),""))</f>
        <v/>
      </c>
      <c r="V11" s="15" t="str">
        <f>IF(TAREAS!$I$39="Propuesta",IF(AND(V$7&gt;=TAREAS!$G$39,V$7&lt;=TAREAS!$H$39,CALENDARIO!$C$56=1),"P",""),IF(ISNUMBER(SEARCH(TEXT(V$7,"yyyy-mm-dd"),TAREAS!$J$39)),IF(TAREAS!$I$39="Registro Git","R",IF(TAREAS!$I$39="Despliegue documentado","D","L")),""))</f>
        <v/>
      </c>
      <c r="W11" s="14" t="str">
        <f>IF(TAREAS!$I$39="Propuesta",IF(AND(W$7&gt;=TAREAS!$G$39,W$7&lt;=TAREAS!$H$39,CALENDARIO!$C$57=1),"P",""),IF(ISNUMBER(SEARCH(TEXT(W$7,"yyyy-mm-dd"),TAREAS!$J$39)),IF(TAREAS!$I$39="Registro Git","R",IF(TAREAS!$I$39="Despliegue documentado","D","L")),""))</f>
        <v/>
      </c>
      <c r="X11" s="14" t="str">
        <f>IF(TAREAS!$I$39="Propuesta",IF(AND(X$7&gt;=TAREAS!$G$39,X$7&lt;=TAREAS!$H$39,CALENDARIO!$C$58=1),"P",""),IF(ISNUMBER(SEARCH(TEXT(X$7,"yyyy-mm-dd"),TAREAS!$J$39)),IF(TAREAS!$I$39="Registro Git","R",IF(TAREAS!$I$39="Despliegue documentado","D","L")),""))</f>
        <v/>
      </c>
      <c r="Y11" s="14" t="str">
        <f>IF(TAREAS!$I$39="Propuesta",IF(AND(Y$7&gt;=TAREAS!$G$39,Y$7&lt;=TAREAS!$H$39,CALENDARIO!$C$59=1),"P",""),IF(ISNUMBER(SEARCH(TEXT(Y$7,"yyyy-mm-dd"),TAREAS!$J$39)),IF(TAREAS!$I$39="Registro Git","R",IF(TAREAS!$I$39="Despliegue documentado","D","L")),""))</f>
        <v/>
      </c>
      <c r="Z11" s="14" t="str">
        <f>IF(TAREAS!$I$39="Propuesta",IF(AND(Z$7&gt;=TAREAS!$G$39,Z$7&lt;=TAREAS!$H$39,CALENDARIO!$C$60=1),"P",""),IF(ISNUMBER(SEARCH(TEXT(Z$7,"yyyy-mm-dd"),TAREAS!$J$39)),IF(TAREAS!$I$39="Registro Git","R",IF(TAREAS!$I$39="Despliegue documentado","D","L")),""))</f>
        <v/>
      </c>
      <c r="AA11" s="14" t="str">
        <f>IF(TAREAS!$I$39="Propuesta",IF(AND(AA$7&gt;=TAREAS!$G$39,AA$7&lt;=TAREAS!$H$39,CALENDARIO!$C$61=1),"P",""),IF(ISNUMBER(SEARCH(TEXT(AA$7,"yyyy-mm-dd"),TAREAS!$J$39)),IF(TAREAS!$I$39="Registro Git","R",IF(TAREAS!$I$39="Despliegue documentado","D","L")),""))</f>
        <v/>
      </c>
      <c r="AB11" s="15" t="str">
        <f>IF(TAREAS!$I$39="Propuesta",IF(AND(AB$7&gt;=TAREAS!$G$39,AB$7&lt;=TAREAS!$H$39,CALENDARIO!$C$62=1),"P",""),IF(ISNUMBER(SEARCH(TEXT(AB$7,"yyyy-mm-dd"),TAREAS!$J$39)),IF(TAREAS!$I$39="Registro Git","R",IF(TAREAS!$I$39="Despliegue documentado","D","L")),""))</f>
        <v/>
      </c>
      <c r="AC11" s="15" t="str">
        <f>IF(TAREAS!$I$39="Propuesta",IF(AND(AC$7&gt;=TAREAS!$G$39,AC$7&lt;=TAREAS!$H$39,CALENDARIO!$C$63=1),"P",""),IF(ISNUMBER(SEARCH(TEXT(AC$7,"yyyy-mm-dd"),TAREAS!$J$39)),IF(TAREAS!$I$39="Registro Git","R",IF(TAREAS!$I$39="Despliegue documentado","D","L")),""))</f>
        <v/>
      </c>
      <c r="AD11" s="14" t="str">
        <f>IF(TAREAS!$I$39="Propuesta",IF(AND(AD$7&gt;=TAREAS!$G$39,AD$7&lt;=TAREAS!$H$39,CALENDARIO!$C$64=1),"P",""),IF(ISNUMBER(SEARCH(TEXT(AD$7,"yyyy-mm-dd"),TAREAS!$J$39)),IF(TAREAS!$I$39="Registro Git","R",IF(TAREAS!$I$39="Despliegue documentado","D","L")),""))</f>
        <v/>
      </c>
      <c r="AE11" s="14" t="str">
        <f>IF(TAREAS!$I$39="Propuesta",IF(AND(AE$7&gt;=TAREAS!$G$39,AE$7&lt;=TAREAS!$H$39,CALENDARIO!$C$65=1),"P",""),IF(ISNUMBER(SEARCH(TEXT(AE$7,"yyyy-mm-dd"),TAREAS!$J$39)),IF(TAREAS!$I$39="Registro Git","R",IF(TAREAS!$I$39="Despliegue documentado","D","L")),""))</f>
        <v/>
      </c>
      <c r="AF11" s="14" t="str">
        <f>IF(TAREAS!$I$39="Propuesta",IF(AND(AF$7&gt;=TAREAS!$G$39,AF$7&lt;=TAREAS!$H$39,CALENDARIO!$C$66=1),"P",""),IF(ISNUMBER(SEARCH(TEXT(AF$7,"yyyy-mm-dd"),TAREAS!$J$39)),IF(TAREAS!$I$39="Registro Git","R",IF(TAREAS!$I$39="Despliegue documentado","D","L")),""))</f>
        <v/>
      </c>
      <c r="AG11" s="14" t="str">
        <f>IF(TAREAS!$I$39="Propuesta",IF(AND(AG$7&gt;=TAREAS!$G$39,AG$7&lt;=TAREAS!$H$39,CALENDARIO!$C$67=1),"P",""),IF(ISNUMBER(SEARCH(TEXT(AG$7,"yyyy-mm-dd"),TAREAS!$J$39)),IF(TAREAS!$I$39="Registro Git","R",IF(TAREAS!$I$39="Despliegue documentado","D","L")),""))</f>
        <v/>
      </c>
      <c r="AH11" s="14" t="str">
        <f>IF(TAREAS!$I$39="Propuesta",IF(AND(AH$7&gt;=TAREAS!$G$39,AH$7&lt;=TAREAS!$H$39,CALENDARIO!$C$68=1),"P",""),IF(ISNUMBER(SEARCH(TEXT(AH$7,"yyyy-mm-dd"),TAREAS!$J$39)),IF(TAREAS!$I$39="Registro Git","R",IF(TAREAS!$I$39="Despliegue documentado","D","L")),""))</f>
        <v/>
      </c>
      <c r="AI11" s="15" t="str">
        <f>IF(TAREAS!$I$39="Propuesta",IF(AND(AI$7&gt;=TAREAS!$G$39,AI$7&lt;=TAREAS!$H$39,CALENDARIO!$C$69=1),"P",""),IF(ISNUMBER(SEARCH(TEXT(AI$7,"yyyy-mm-dd"),TAREAS!$J$39)),IF(TAREAS!$I$39="Registro Git","R",IF(TAREAS!$I$39="Despliegue documentado","D","L")),""))</f>
        <v/>
      </c>
    </row>
    <row r="12" spans="1:35" ht="72" customHeight="1" x14ac:dyDescent="0.25">
      <c r="A12" s="18" t="str">
        <f>TAREAS!C40</f>
        <v>HU-G10 · Como responsable de área, quiero actualizar equipo, horarios y necesidades.</v>
      </c>
      <c r="B12" s="12" t="str">
        <f>TAREAS!A40&amp;" · "&amp;TAREAS!D40</f>
        <v>T-036 · Revisar y actualizar configuración del área: Marketing</v>
      </c>
      <c r="C12" s="12" t="str">
        <f>TAREAS!F40</f>
        <v>Sistemas + responsable del área</v>
      </c>
      <c r="D12" s="13">
        <f t="shared" si="0"/>
        <v>2</v>
      </c>
      <c r="E12" s="14" t="str">
        <f>IF(TAREAS!$I$40="Propuesta",IF(AND(E$7&gt;=TAREAS!$G$40,E$7&lt;=TAREAS!$H$40,CALENDARIO!$C$39=1),"P",""),IF(ISNUMBER(SEARCH(TEXT(E$7,"yyyy-mm-dd"),TAREAS!$J$40)),IF(TAREAS!$I$40="Registro Git","R",IF(TAREAS!$I$40="Despliegue documentado","D","L")),""))</f>
        <v/>
      </c>
      <c r="F12" s="14" t="str">
        <f>IF(TAREAS!$I$40="Propuesta",IF(AND(F$7&gt;=TAREAS!$G$40,F$7&lt;=TAREAS!$H$40,CALENDARIO!$C$40=1),"P",""),IF(ISNUMBER(SEARCH(TEXT(F$7,"yyyy-mm-dd"),TAREAS!$J$40)),IF(TAREAS!$I$40="Registro Git","R",IF(TAREAS!$I$40="Despliegue documentado","D","L")),""))</f>
        <v/>
      </c>
      <c r="G12" s="15" t="str">
        <f>IF(TAREAS!$I$40="Propuesta",IF(AND(G$7&gt;=TAREAS!$G$40,G$7&lt;=TAREAS!$H$40,CALENDARIO!$C$41=1),"P",""),IF(ISNUMBER(SEARCH(TEXT(G$7,"yyyy-mm-dd"),TAREAS!$J$40)),IF(TAREAS!$I$40="Registro Git","R",IF(TAREAS!$I$40="Despliegue documentado","D","L")),""))</f>
        <v/>
      </c>
      <c r="H12" s="15" t="str">
        <f>IF(TAREAS!$I$40="Propuesta",IF(AND(H$7&gt;=TAREAS!$G$40,H$7&lt;=TAREAS!$H$40,CALENDARIO!$C$42=1),"P",""),IF(ISNUMBER(SEARCH(TEXT(H$7,"yyyy-mm-dd"),TAREAS!$J$40)),IF(TAREAS!$I$40="Registro Git","R",IF(TAREAS!$I$40="Despliegue documentado","D","L")),""))</f>
        <v/>
      </c>
      <c r="I12" s="14" t="str">
        <f>IF(TAREAS!$I$40="Propuesta",IF(AND(I$7&gt;=TAREAS!$G$40,I$7&lt;=TAREAS!$H$40,CALENDARIO!$C$43=1),"P",""),IF(ISNUMBER(SEARCH(TEXT(I$7,"yyyy-mm-dd"),TAREAS!$J$40)),IF(TAREAS!$I$40="Registro Git","R",IF(TAREAS!$I$40="Despliegue documentado","D","L")),""))</f>
        <v/>
      </c>
      <c r="J12" s="14" t="str">
        <f>IF(TAREAS!$I$40="Propuesta",IF(AND(J$7&gt;=TAREAS!$G$40,J$7&lt;=TAREAS!$H$40,CALENDARIO!$C$44=1),"P",""),IF(ISNUMBER(SEARCH(TEXT(J$7,"yyyy-mm-dd"),TAREAS!$J$40)),IF(TAREAS!$I$40="Registro Git","R",IF(TAREAS!$I$40="Despliegue documentado","D","L")),""))</f>
        <v/>
      </c>
      <c r="K12" s="14" t="str">
        <f>IF(TAREAS!$I$40="Propuesta",IF(AND(K$7&gt;=TAREAS!$G$40,K$7&lt;=TAREAS!$H$40,CALENDARIO!$C$45=1),"P",""),IF(ISNUMBER(SEARCH(TEXT(K$7,"yyyy-mm-dd"),TAREAS!$J$40)),IF(TAREAS!$I$40="Registro Git","R",IF(TAREAS!$I$40="Despliegue documentado","D","L")),""))</f>
        <v/>
      </c>
      <c r="L12" s="15" t="str">
        <f>IF(TAREAS!$I$40="Propuesta",IF(AND(L$7&gt;=TAREAS!$G$40,L$7&lt;=TAREAS!$H$40,CALENDARIO!$C$46=1),"P",""),IF(ISNUMBER(SEARCH(TEXT(L$7,"yyyy-mm-dd"),TAREAS!$J$40)),IF(TAREAS!$I$40="Registro Git","R",IF(TAREAS!$I$40="Despliegue documentado","D","L")),""))</f>
        <v/>
      </c>
      <c r="M12" s="14" t="str">
        <f>IF(TAREAS!$I$40="Propuesta",IF(AND(M$7&gt;=TAREAS!$G$40,M$7&lt;=TAREAS!$H$40,CALENDARIO!$C$47=1),"P",""),IF(ISNUMBER(SEARCH(TEXT(M$7,"yyyy-mm-dd"),TAREAS!$J$40)),IF(TAREAS!$I$40="Registro Git","R",IF(TAREAS!$I$40="Despliegue documentado","D","L")),""))</f>
        <v/>
      </c>
      <c r="N12" s="15" t="str">
        <f>IF(TAREAS!$I$40="Propuesta",IF(AND(N$7&gt;=TAREAS!$G$40,N$7&lt;=TAREAS!$H$40,CALENDARIO!$C$48=1),"P",""),IF(ISNUMBER(SEARCH(TEXT(N$7,"yyyy-mm-dd"),TAREAS!$J$40)),IF(TAREAS!$I$40="Registro Git","R",IF(TAREAS!$I$40="Despliegue documentado","D","L")),""))</f>
        <v/>
      </c>
      <c r="O12" s="15" t="str">
        <f>IF(TAREAS!$I$40="Propuesta",IF(AND(O$7&gt;=TAREAS!$G$40,O$7&lt;=TAREAS!$H$40,CALENDARIO!$C$49=1),"P",""),IF(ISNUMBER(SEARCH(TEXT(O$7,"yyyy-mm-dd"),TAREAS!$J$40)),IF(TAREAS!$I$40="Registro Git","R",IF(TAREAS!$I$40="Despliegue documentado","D","L")),""))</f>
        <v/>
      </c>
      <c r="P12" s="14" t="str">
        <f>IF(TAREAS!$I$40="Propuesta",IF(AND(P$7&gt;=TAREAS!$G$40,P$7&lt;=TAREAS!$H$40,CALENDARIO!$C$50=1),"P",""),IF(ISNUMBER(SEARCH(TEXT(P$7,"yyyy-mm-dd"),TAREAS!$J$40)),IF(TAREAS!$I$40="Registro Git","R",IF(TAREAS!$I$40="Despliegue documentado","D","L")),""))</f>
        <v>P</v>
      </c>
      <c r="Q12" s="14" t="str">
        <f>IF(TAREAS!$I$40="Propuesta",IF(AND(Q$7&gt;=TAREAS!$G$40,Q$7&lt;=TAREAS!$H$40,CALENDARIO!$C$51=1),"P",""),IF(ISNUMBER(SEARCH(TEXT(Q$7,"yyyy-mm-dd"),TAREAS!$J$40)),IF(TAREAS!$I$40="Registro Git","R",IF(TAREAS!$I$40="Despliegue documentado","D","L")),""))</f>
        <v>P</v>
      </c>
      <c r="R12" s="14" t="str">
        <f>IF(TAREAS!$I$40="Propuesta",IF(AND(R$7&gt;=TAREAS!$G$40,R$7&lt;=TAREAS!$H$40,CALENDARIO!$C$52=1),"P",""),IF(ISNUMBER(SEARCH(TEXT(R$7,"yyyy-mm-dd"),TAREAS!$J$40)),IF(TAREAS!$I$40="Registro Git","R",IF(TAREAS!$I$40="Despliegue documentado","D","L")),""))</f>
        <v/>
      </c>
      <c r="S12" s="14" t="str">
        <f>IF(TAREAS!$I$40="Propuesta",IF(AND(S$7&gt;=TAREAS!$G$40,S$7&lt;=TAREAS!$H$40,CALENDARIO!$C$53=1),"P",""),IF(ISNUMBER(SEARCH(TEXT(S$7,"yyyy-mm-dd"),TAREAS!$J$40)),IF(TAREAS!$I$40="Registro Git","R",IF(TAREAS!$I$40="Despliegue documentado","D","L")),""))</f>
        <v/>
      </c>
      <c r="T12" s="14" t="str">
        <f>IF(TAREAS!$I$40="Propuesta",IF(AND(T$7&gt;=TAREAS!$G$40,T$7&lt;=TAREAS!$H$40,CALENDARIO!$C$54=1),"P",""),IF(ISNUMBER(SEARCH(TEXT(T$7,"yyyy-mm-dd"),TAREAS!$J$40)),IF(TAREAS!$I$40="Registro Git","R",IF(TAREAS!$I$40="Despliegue documentado","D","L")),""))</f>
        <v/>
      </c>
      <c r="U12" s="15" t="str">
        <f>IF(TAREAS!$I$40="Propuesta",IF(AND(U$7&gt;=TAREAS!$G$40,U$7&lt;=TAREAS!$H$40,CALENDARIO!$C$55=1),"P",""),IF(ISNUMBER(SEARCH(TEXT(U$7,"yyyy-mm-dd"),TAREAS!$J$40)),IF(TAREAS!$I$40="Registro Git","R",IF(TAREAS!$I$40="Despliegue documentado","D","L")),""))</f>
        <v/>
      </c>
      <c r="V12" s="15" t="str">
        <f>IF(TAREAS!$I$40="Propuesta",IF(AND(V$7&gt;=TAREAS!$G$40,V$7&lt;=TAREAS!$H$40,CALENDARIO!$C$56=1),"P",""),IF(ISNUMBER(SEARCH(TEXT(V$7,"yyyy-mm-dd"),TAREAS!$J$40)),IF(TAREAS!$I$40="Registro Git","R",IF(TAREAS!$I$40="Despliegue documentado","D","L")),""))</f>
        <v/>
      </c>
      <c r="W12" s="14" t="str">
        <f>IF(TAREAS!$I$40="Propuesta",IF(AND(W$7&gt;=TAREAS!$G$40,W$7&lt;=TAREAS!$H$40,CALENDARIO!$C$57=1),"P",""),IF(ISNUMBER(SEARCH(TEXT(W$7,"yyyy-mm-dd"),TAREAS!$J$40)),IF(TAREAS!$I$40="Registro Git","R",IF(TAREAS!$I$40="Despliegue documentado","D","L")),""))</f>
        <v/>
      </c>
      <c r="X12" s="14" t="str">
        <f>IF(TAREAS!$I$40="Propuesta",IF(AND(X$7&gt;=TAREAS!$G$40,X$7&lt;=TAREAS!$H$40,CALENDARIO!$C$58=1),"P",""),IF(ISNUMBER(SEARCH(TEXT(X$7,"yyyy-mm-dd"),TAREAS!$J$40)),IF(TAREAS!$I$40="Registro Git","R",IF(TAREAS!$I$40="Despliegue documentado","D","L")),""))</f>
        <v/>
      </c>
      <c r="Y12" s="14" t="str">
        <f>IF(TAREAS!$I$40="Propuesta",IF(AND(Y$7&gt;=TAREAS!$G$40,Y$7&lt;=TAREAS!$H$40,CALENDARIO!$C$59=1),"P",""),IF(ISNUMBER(SEARCH(TEXT(Y$7,"yyyy-mm-dd"),TAREAS!$J$40)),IF(TAREAS!$I$40="Registro Git","R",IF(TAREAS!$I$40="Despliegue documentado","D","L")),""))</f>
        <v/>
      </c>
      <c r="Z12" s="14" t="str">
        <f>IF(TAREAS!$I$40="Propuesta",IF(AND(Z$7&gt;=TAREAS!$G$40,Z$7&lt;=TAREAS!$H$40,CALENDARIO!$C$60=1),"P",""),IF(ISNUMBER(SEARCH(TEXT(Z$7,"yyyy-mm-dd"),TAREAS!$J$40)),IF(TAREAS!$I$40="Registro Git","R",IF(TAREAS!$I$40="Despliegue documentado","D","L")),""))</f>
        <v/>
      </c>
      <c r="AA12" s="14" t="str">
        <f>IF(TAREAS!$I$40="Propuesta",IF(AND(AA$7&gt;=TAREAS!$G$40,AA$7&lt;=TAREAS!$H$40,CALENDARIO!$C$61=1),"P",""),IF(ISNUMBER(SEARCH(TEXT(AA$7,"yyyy-mm-dd"),TAREAS!$J$40)),IF(TAREAS!$I$40="Registro Git","R",IF(TAREAS!$I$40="Despliegue documentado","D","L")),""))</f>
        <v/>
      </c>
      <c r="AB12" s="15" t="str">
        <f>IF(TAREAS!$I$40="Propuesta",IF(AND(AB$7&gt;=TAREAS!$G$40,AB$7&lt;=TAREAS!$H$40,CALENDARIO!$C$62=1),"P",""),IF(ISNUMBER(SEARCH(TEXT(AB$7,"yyyy-mm-dd"),TAREAS!$J$40)),IF(TAREAS!$I$40="Registro Git","R",IF(TAREAS!$I$40="Despliegue documentado","D","L")),""))</f>
        <v/>
      </c>
      <c r="AC12" s="15" t="str">
        <f>IF(TAREAS!$I$40="Propuesta",IF(AND(AC$7&gt;=TAREAS!$G$40,AC$7&lt;=TAREAS!$H$40,CALENDARIO!$C$63=1),"P",""),IF(ISNUMBER(SEARCH(TEXT(AC$7,"yyyy-mm-dd"),TAREAS!$J$40)),IF(TAREAS!$I$40="Registro Git","R",IF(TAREAS!$I$40="Despliegue documentado","D","L")),""))</f>
        <v/>
      </c>
      <c r="AD12" s="14" t="str">
        <f>IF(TAREAS!$I$40="Propuesta",IF(AND(AD$7&gt;=TAREAS!$G$40,AD$7&lt;=TAREAS!$H$40,CALENDARIO!$C$64=1),"P",""),IF(ISNUMBER(SEARCH(TEXT(AD$7,"yyyy-mm-dd"),TAREAS!$J$40)),IF(TAREAS!$I$40="Registro Git","R",IF(TAREAS!$I$40="Despliegue documentado","D","L")),""))</f>
        <v/>
      </c>
      <c r="AE12" s="14" t="str">
        <f>IF(TAREAS!$I$40="Propuesta",IF(AND(AE$7&gt;=TAREAS!$G$40,AE$7&lt;=TAREAS!$H$40,CALENDARIO!$C$65=1),"P",""),IF(ISNUMBER(SEARCH(TEXT(AE$7,"yyyy-mm-dd"),TAREAS!$J$40)),IF(TAREAS!$I$40="Registro Git","R",IF(TAREAS!$I$40="Despliegue documentado","D","L")),""))</f>
        <v/>
      </c>
      <c r="AF12" s="14" t="str">
        <f>IF(TAREAS!$I$40="Propuesta",IF(AND(AF$7&gt;=TAREAS!$G$40,AF$7&lt;=TAREAS!$H$40,CALENDARIO!$C$66=1),"P",""),IF(ISNUMBER(SEARCH(TEXT(AF$7,"yyyy-mm-dd"),TAREAS!$J$40)),IF(TAREAS!$I$40="Registro Git","R",IF(TAREAS!$I$40="Despliegue documentado","D","L")),""))</f>
        <v/>
      </c>
      <c r="AG12" s="14" t="str">
        <f>IF(TAREAS!$I$40="Propuesta",IF(AND(AG$7&gt;=TAREAS!$G$40,AG$7&lt;=TAREAS!$H$40,CALENDARIO!$C$67=1),"P",""),IF(ISNUMBER(SEARCH(TEXT(AG$7,"yyyy-mm-dd"),TAREAS!$J$40)),IF(TAREAS!$I$40="Registro Git","R",IF(TAREAS!$I$40="Despliegue documentado","D","L")),""))</f>
        <v/>
      </c>
      <c r="AH12" s="14" t="str">
        <f>IF(TAREAS!$I$40="Propuesta",IF(AND(AH$7&gt;=TAREAS!$G$40,AH$7&lt;=TAREAS!$H$40,CALENDARIO!$C$68=1),"P",""),IF(ISNUMBER(SEARCH(TEXT(AH$7,"yyyy-mm-dd"),TAREAS!$J$40)),IF(TAREAS!$I$40="Registro Git","R",IF(TAREAS!$I$40="Despliegue documentado","D","L")),""))</f>
        <v/>
      </c>
      <c r="AI12" s="15" t="str">
        <f>IF(TAREAS!$I$40="Propuesta",IF(AND(AI$7&gt;=TAREAS!$G$40,AI$7&lt;=TAREAS!$H$40,CALENDARIO!$C$69=1),"P",""),IF(ISNUMBER(SEARCH(TEXT(AI$7,"yyyy-mm-dd"),TAREAS!$J$40)),IF(TAREAS!$I$40="Registro Git","R",IF(TAREAS!$I$40="Despliegue documentado","D","L")),""))</f>
        <v/>
      </c>
    </row>
    <row r="13" spans="1:35" ht="72" customHeight="1" x14ac:dyDescent="0.25">
      <c r="A13" s="18" t="str">
        <f>TAREAS!C41</f>
        <v>HU-G10 · Como responsable de área, quiero actualizar equipo, horarios y necesidades.</v>
      </c>
      <c r="B13" s="12" t="str">
        <f>TAREAS!A41&amp;" · "&amp;TAREAS!D41</f>
        <v>T-037 · Revisar y actualizar configuración del área: Ingeniería</v>
      </c>
      <c r="C13" s="12" t="str">
        <f>TAREAS!F41</f>
        <v>Sistemas + responsable del área</v>
      </c>
      <c r="D13" s="13">
        <f t="shared" si="0"/>
        <v>2</v>
      </c>
      <c r="E13" s="14" t="str">
        <f>IF(TAREAS!$I$41="Propuesta",IF(AND(E$7&gt;=TAREAS!$G$41,E$7&lt;=TAREAS!$H$41,CALENDARIO!$C$39=1),"P",""),IF(ISNUMBER(SEARCH(TEXT(E$7,"yyyy-mm-dd"),TAREAS!$J$41)),IF(TAREAS!$I$41="Registro Git","R",IF(TAREAS!$I$41="Despliegue documentado","D","L")),""))</f>
        <v/>
      </c>
      <c r="F13" s="14" t="str">
        <f>IF(TAREAS!$I$41="Propuesta",IF(AND(F$7&gt;=TAREAS!$G$41,F$7&lt;=TAREAS!$H$41,CALENDARIO!$C$40=1),"P",""),IF(ISNUMBER(SEARCH(TEXT(F$7,"yyyy-mm-dd"),TAREAS!$J$41)),IF(TAREAS!$I$41="Registro Git","R",IF(TAREAS!$I$41="Despliegue documentado","D","L")),""))</f>
        <v/>
      </c>
      <c r="G13" s="15" t="str">
        <f>IF(TAREAS!$I$41="Propuesta",IF(AND(G$7&gt;=TAREAS!$G$41,G$7&lt;=TAREAS!$H$41,CALENDARIO!$C$41=1),"P",""),IF(ISNUMBER(SEARCH(TEXT(G$7,"yyyy-mm-dd"),TAREAS!$J$41)),IF(TAREAS!$I$41="Registro Git","R",IF(TAREAS!$I$41="Despliegue documentado","D","L")),""))</f>
        <v/>
      </c>
      <c r="H13" s="15" t="str">
        <f>IF(TAREAS!$I$41="Propuesta",IF(AND(H$7&gt;=TAREAS!$G$41,H$7&lt;=TAREAS!$H$41,CALENDARIO!$C$42=1),"P",""),IF(ISNUMBER(SEARCH(TEXT(H$7,"yyyy-mm-dd"),TAREAS!$J$41)),IF(TAREAS!$I$41="Registro Git","R",IF(TAREAS!$I$41="Despliegue documentado","D","L")),""))</f>
        <v/>
      </c>
      <c r="I13" s="14" t="str">
        <f>IF(TAREAS!$I$41="Propuesta",IF(AND(I$7&gt;=TAREAS!$G$41,I$7&lt;=TAREAS!$H$41,CALENDARIO!$C$43=1),"P",""),IF(ISNUMBER(SEARCH(TEXT(I$7,"yyyy-mm-dd"),TAREAS!$J$41)),IF(TAREAS!$I$41="Registro Git","R",IF(TAREAS!$I$41="Despliegue documentado","D","L")),""))</f>
        <v/>
      </c>
      <c r="J13" s="14" t="str">
        <f>IF(TAREAS!$I$41="Propuesta",IF(AND(J$7&gt;=TAREAS!$G$41,J$7&lt;=TAREAS!$H$41,CALENDARIO!$C$44=1),"P",""),IF(ISNUMBER(SEARCH(TEXT(J$7,"yyyy-mm-dd"),TAREAS!$J$41)),IF(TAREAS!$I$41="Registro Git","R",IF(TAREAS!$I$41="Despliegue documentado","D","L")),""))</f>
        <v/>
      </c>
      <c r="K13" s="14" t="str">
        <f>IF(TAREAS!$I$41="Propuesta",IF(AND(K$7&gt;=TAREAS!$G$41,K$7&lt;=TAREAS!$H$41,CALENDARIO!$C$45=1),"P",""),IF(ISNUMBER(SEARCH(TEXT(K$7,"yyyy-mm-dd"),TAREAS!$J$41)),IF(TAREAS!$I$41="Registro Git","R",IF(TAREAS!$I$41="Despliegue documentado","D","L")),""))</f>
        <v/>
      </c>
      <c r="L13" s="15" t="str">
        <f>IF(TAREAS!$I$41="Propuesta",IF(AND(L$7&gt;=TAREAS!$G$41,L$7&lt;=TAREAS!$H$41,CALENDARIO!$C$46=1),"P",""),IF(ISNUMBER(SEARCH(TEXT(L$7,"yyyy-mm-dd"),TAREAS!$J$41)),IF(TAREAS!$I$41="Registro Git","R",IF(TAREAS!$I$41="Despliegue documentado","D","L")),""))</f>
        <v/>
      </c>
      <c r="M13" s="14" t="str">
        <f>IF(TAREAS!$I$41="Propuesta",IF(AND(M$7&gt;=TAREAS!$G$41,M$7&lt;=TAREAS!$H$41,CALENDARIO!$C$47=1),"P",""),IF(ISNUMBER(SEARCH(TEXT(M$7,"yyyy-mm-dd"),TAREAS!$J$41)),IF(TAREAS!$I$41="Registro Git","R",IF(TAREAS!$I$41="Despliegue documentado","D","L")),""))</f>
        <v/>
      </c>
      <c r="N13" s="15" t="str">
        <f>IF(TAREAS!$I$41="Propuesta",IF(AND(N$7&gt;=TAREAS!$G$41,N$7&lt;=TAREAS!$H$41,CALENDARIO!$C$48=1),"P",""),IF(ISNUMBER(SEARCH(TEXT(N$7,"yyyy-mm-dd"),TAREAS!$J$41)),IF(TAREAS!$I$41="Registro Git","R",IF(TAREAS!$I$41="Despliegue documentado","D","L")),""))</f>
        <v/>
      </c>
      <c r="O13" s="15" t="str">
        <f>IF(TAREAS!$I$41="Propuesta",IF(AND(O$7&gt;=TAREAS!$G$41,O$7&lt;=TAREAS!$H$41,CALENDARIO!$C$49=1),"P",""),IF(ISNUMBER(SEARCH(TEXT(O$7,"yyyy-mm-dd"),TAREAS!$J$41)),IF(TAREAS!$I$41="Registro Git","R",IF(TAREAS!$I$41="Despliegue documentado","D","L")),""))</f>
        <v/>
      </c>
      <c r="P13" s="14" t="str">
        <f>IF(TAREAS!$I$41="Propuesta",IF(AND(P$7&gt;=TAREAS!$G$41,P$7&lt;=TAREAS!$H$41,CALENDARIO!$C$50=1),"P",""),IF(ISNUMBER(SEARCH(TEXT(P$7,"yyyy-mm-dd"),TAREAS!$J$41)),IF(TAREAS!$I$41="Registro Git","R",IF(TAREAS!$I$41="Despliegue documentado","D","L")),""))</f>
        <v/>
      </c>
      <c r="Q13" s="14" t="str">
        <f>IF(TAREAS!$I$41="Propuesta",IF(AND(Q$7&gt;=TAREAS!$G$41,Q$7&lt;=TAREAS!$H$41,CALENDARIO!$C$51=1),"P",""),IF(ISNUMBER(SEARCH(TEXT(Q$7,"yyyy-mm-dd"),TAREAS!$J$41)),IF(TAREAS!$I$41="Registro Git","R",IF(TAREAS!$I$41="Despliegue documentado","D","L")),""))</f>
        <v/>
      </c>
      <c r="R13" s="14" t="str">
        <f>IF(TAREAS!$I$41="Propuesta",IF(AND(R$7&gt;=TAREAS!$G$41,R$7&lt;=TAREAS!$H$41,CALENDARIO!$C$52=1),"P",""),IF(ISNUMBER(SEARCH(TEXT(R$7,"yyyy-mm-dd"),TAREAS!$J$41)),IF(TAREAS!$I$41="Registro Git","R",IF(TAREAS!$I$41="Despliegue documentado","D","L")),""))</f>
        <v>P</v>
      </c>
      <c r="S13" s="14" t="str">
        <f>IF(TAREAS!$I$41="Propuesta",IF(AND(S$7&gt;=TAREAS!$G$41,S$7&lt;=TAREAS!$H$41,CALENDARIO!$C$53=1),"P",""),IF(ISNUMBER(SEARCH(TEXT(S$7,"yyyy-mm-dd"),TAREAS!$J$41)),IF(TAREAS!$I$41="Registro Git","R",IF(TAREAS!$I$41="Despliegue documentado","D","L")),""))</f>
        <v>P</v>
      </c>
      <c r="T13" s="14" t="str">
        <f>IF(TAREAS!$I$41="Propuesta",IF(AND(T$7&gt;=TAREAS!$G$41,T$7&lt;=TAREAS!$H$41,CALENDARIO!$C$54=1),"P",""),IF(ISNUMBER(SEARCH(TEXT(T$7,"yyyy-mm-dd"),TAREAS!$J$41)),IF(TAREAS!$I$41="Registro Git","R",IF(TAREAS!$I$41="Despliegue documentado","D","L")),""))</f>
        <v/>
      </c>
      <c r="U13" s="15" t="str">
        <f>IF(TAREAS!$I$41="Propuesta",IF(AND(U$7&gt;=TAREAS!$G$41,U$7&lt;=TAREAS!$H$41,CALENDARIO!$C$55=1),"P",""),IF(ISNUMBER(SEARCH(TEXT(U$7,"yyyy-mm-dd"),TAREAS!$J$41)),IF(TAREAS!$I$41="Registro Git","R",IF(TAREAS!$I$41="Despliegue documentado","D","L")),""))</f>
        <v/>
      </c>
      <c r="V13" s="15" t="str">
        <f>IF(TAREAS!$I$41="Propuesta",IF(AND(V$7&gt;=TAREAS!$G$41,V$7&lt;=TAREAS!$H$41,CALENDARIO!$C$56=1),"P",""),IF(ISNUMBER(SEARCH(TEXT(V$7,"yyyy-mm-dd"),TAREAS!$J$41)),IF(TAREAS!$I$41="Registro Git","R",IF(TAREAS!$I$41="Despliegue documentado","D","L")),""))</f>
        <v/>
      </c>
      <c r="W13" s="14" t="str">
        <f>IF(TAREAS!$I$41="Propuesta",IF(AND(W$7&gt;=TAREAS!$G$41,W$7&lt;=TAREAS!$H$41,CALENDARIO!$C$57=1),"P",""),IF(ISNUMBER(SEARCH(TEXT(W$7,"yyyy-mm-dd"),TAREAS!$J$41)),IF(TAREAS!$I$41="Registro Git","R",IF(TAREAS!$I$41="Despliegue documentado","D","L")),""))</f>
        <v/>
      </c>
      <c r="X13" s="14" t="str">
        <f>IF(TAREAS!$I$41="Propuesta",IF(AND(X$7&gt;=TAREAS!$G$41,X$7&lt;=TAREAS!$H$41,CALENDARIO!$C$58=1),"P",""),IF(ISNUMBER(SEARCH(TEXT(X$7,"yyyy-mm-dd"),TAREAS!$J$41)),IF(TAREAS!$I$41="Registro Git","R",IF(TAREAS!$I$41="Despliegue documentado","D","L")),""))</f>
        <v/>
      </c>
      <c r="Y13" s="14" t="str">
        <f>IF(TAREAS!$I$41="Propuesta",IF(AND(Y$7&gt;=TAREAS!$G$41,Y$7&lt;=TAREAS!$H$41,CALENDARIO!$C$59=1),"P",""),IF(ISNUMBER(SEARCH(TEXT(Y$7,"yyyy-mm-dd"),TAREAS!$J$41)),IF(TAREAS!$I$41="Registro Git","R",IF(TAREAS!$I$41="Despliegue documentado","D","L")),""))</f>
        <v/>
      </c>
      <c r="Z13" s="14" t="str">
        <f>IF(TAREAS!$I$41="Propuesta",IF(AND(Z$7&gt;=TAREAS!$G$41,Z$7&lt;=TAREAS!$H$41,CALENDARIO!$C$60=1),"P",""),IF(ISNUMBER(SEARCH(TEXT(Z$7,"yyyy-mm-dd"),TAREAS!$J$41)),IF(TAREAS!$I$41="Registro Git","R",IF(TAREAS!$I$41="Despliegue documentado","D","L")),""))</f>
        <v/>
      </c>
      <c r="AA13" s="14" t="str">
        <f>IF(TAREAS!$I$41="Propuesta",IF(AND(AA$7&gt;=TAREAS!$G$41,AA$7&lt;=TAREAS!$H$41,CALENDARIO!$C$61=1),"P",""),IF(ISNUMBER(SEARCH(TEXT(AA$7,"yyyy-mm-dd"),TAREAS!$J$41)),IF(TAREAS!$I$41="Registro Git","R",IF(TAREAS!$I$41="Despliegue documentado","D","L")),""))</f>
        <v/>
      </c>
      <c r="AB13" s="15" t="str">
        <f>IF(TAREAS!$I$41="Propuesta",IF(AND(AB$7&gt;=TAREAS!$G$41,AB$7&lt;=TAREAS!$H$41,CALENDARIO!$C$62=1),"P",""),IF(ISNUMBER(SEARCH(TEXT(AB$7,"yyyy-mm-dd"),TAREAS!$J$41)),IF(TAREAS!$I$41="Registro Git","R",IF(TAREAS!$I$41="Despliegue documentado","D","L")),""))</f>
        <v/>
      </c>
      <c r="AC13" s="15" t="str">
        <f>IF(TAREAS!$I$41="Propuesta",IF(AND(AC$7&gt;=TAREAS!$G$41,AC$7&lt;=TAREAS!$H$41,CALENDARIO!$C$63=1),"P",""),IF(ISNUMBER(SEARCH(TEXT(AC$7,"yyyy-mm-dd"),TAREAS!$J$41)),IF(TAREAS!$I$41="Registro Git","R",IF(TAREAS!$I$41="Despliegue documentado","D","L")),""))</f>
        <v/>
      </c>
      <c r="AD13" s="14" t="str">
        <f>IF(TAREAS!$I$41="Propuesta",IF(AND(AD$7&gt;=TAREAS!$G$41,AD$7&lt;=TAREAS!$H$41,CALENDARIO!$C$64=1),"P",""),IF(ISNUMBER(SEARCH(TEXT(AD$7,"yyyy-mm-dd"),TAREAS!$J$41)),IF(TAREAS!$I$41="Registro Git","R",IF(TAREAS!$I$41="Despliegue documentado","D","L")),""))</f>
        <v/>
      </c>
      <c r="AE13" s="14" t="str">
        <f>IF(TAREAS!$I$41="Propuesta",IF(AND(AE$7&gt;=TAREAS!$G$41,AE$7&lt;=TAREAS!$H$41,CALENDARIO!$C$65=1),"P",""),IF(ISNUMBER(SEARCH(TEXT(AE$7,"yyyy-mm-dd"),TAREAS!$J$41)),IF(TAREAS!$I$41="Registro Git","R",IF(TAREAS!$I$41="Despliegue documentado","D","L")),""))</f>
        <v/>
      </c>
      <c r="AF13" s="14" t="str">
        <f>IF(TAREAS!$I$41="Propuesta",IF(AND(AF$7&gt;=TAREAS!$G$41,AF$7&lt;=TAREAS!$H$41,CALENDARIO!$C$66=1),"P",""),IF(ISNUMBER(SEARCH(TEXT(AF$7,"yyyy-mm-dd"),TAREAS!$J$41)),IF(TAREAS!$I$41="Registro Git","R",IF(TAREAS!$I$41="Despliegue documentado","D","L")),""))</f>
        <v/>
      </c>
      <c r="AG13" s="14" t="str">
        <f>IF(TAREAS!$I$41="Propuesta",IF(AND(AG$7&gt;=TAREAS!$G$41,AG$7&lt;=TAREAS!$H$41,CALENDARIO!$C$67=1),"P",""),IF(ISNUMBER(SEARCH(TEXT(AG$7,"yyyy-mm-dd"),TAREAS!$J$41)),IF(TAREAS!$I$41="Registro Git","R",IF(TAREAS!$I$41="Despliegue documentado","D","L")),""))</f>
        <v/>
      </c>
      <c r="AH13" s="14" t="str">
        <f>IF(TAREAS!$I$41="Propuesta",IF(AND(AH$7&gt;=TAREAS!$G$41,AH$7&lt;=TAREAS!$H$41,CALENDARIO!$C$68=1),"P",""),IF(ISNUMBER(SEARCH(TEXT(AH$7,"yyyy-mm-dd"),TAREAS!$J$41)),IF(TAREAS!$I$41="Registro Git","R",IF(TAREAS!$I$41="Despliegue documentado","D","L")),""))</f>
        <v/>
      </c>
      <c r="AI13" s="15" t="str">
        <f>IF(TAREAS!$I$41="Propuesta",IF(AND(AI$7&gt;=TAREAS!$G$41,AI$7&lt;=TAREAS!$H$41,CALENDARIO!$C$69=1),"P",""),IF(ISNUMBER(SEARCH(TEXT(AI$7,"yyyy-mm-dd"),TAREAS!$J$41)),IF(TAREAS!$I$41="Registro Git","R",IF(TAREAS!$I$41="Despliegue documentado","D","L")),""))</f>
        <v/>
      </c>
    </row>
    <row r="14" spans="1:35" ht="72" customHeight="1" x14ac:dyDescent="0.25">
      <c r="A14" s="18" t="str">
        <f>TAREAS!C42</f>
        <v>HU-G10 · Como responsable de área, quiero actualizar equipo, horarios y necesidades.</v>
      </c>
      <c r="B14" s="12" t="str">
        <f>TAREAS!A42&amp;" · "&amp;TAREAS!D42</f>
        <v>T-038 · Revisar y actualizar configuración del área: Diseño gráfico</v>
      </c>
      <c r="C14" s="12" t="str">
        <f>TAREAS!F42</f>
        <v>Sistemas + responsable del área</v>
      </c>
      <c r="D14" s="13">
        <f t="shared" si="0"/>
        <v>2</v>
      </c>
      <c r="E14" s="14" t="str">
        <f>IF(TAREAS!$I$42="Propuesta",IF(AND(E$7&gt;=TAREAS!$G$42,E$7&lt;=TAREAS!$H$42,CALENDARIO!$C$39=1),"P",""),IF(ISNUMBER(SEARCH(TEXT(E$7,"yyyy-mm-dd"),TAREAS!$J$42)),IF(TAREAS!$I$42="Registro Git","R",IF(TAREAS!$I$42="Despliegue documentado","D","L")),""))</f>
        <v/>
      </c>
      <c r="F14" s="14" t="str">
        <f>IF(TAREAS!$I$42="Propuesta",IF(AND(F$7&gt;=TAREAS!$G$42,F$7&lt;=TAREAS!$H$42,CALENDARIO!$C$40=1),"P",""),IF(ISNUMBER(SEARCH(TEXT(F$7,"yyyy-mm-dd"),TAREAS!$J$42)),IF(TAREAS!$I$42="Registro Git","R",IF(TAREAS!$I$42="Despliegue documentado","D","L")),""))</f>
        <v/>
      </c>
      <c r="G14" s="15" t="str">
        <f>IF(TAREAS!$I$42="Propuesta",IF(AND(G$7&gt;=TAREAS!$G$42,G$7&lt;=TAREAS!$H$42,CALENDARIO!$C$41=1),"P",""),IF(ISNUMBER(SEARCH(TEXT(G$7,"yyyy-mm-dd"),TAREAS!$J$42)),IF(TAREAS!$I$42="Registro Git","R",IF(TAREAS!$I$42="Despliegue documentado","D","L")),""))</f>
        <v/>
      </c>
      <c r="H14" s="15" t="str">
        <f>IF(TAREAS!$I$42="Propuesta",IF(AND(H$7&gt;=TAREAS!$G$42,H$7&lt;=TAREAS!$H$42,CALENDARIO!$C$42=1),"P",""),IF(ISNUMBER(SEARCH(TEXT(H$7,"yyyy-mm-dd"),TAREAS!$J$42)),IF(TAREAS!$I$42="Registro Git","R",IF(TAREAS!$I$42="Despliegue documentado","D","L")),""))</f>
        <v/>
      </c>
      <c r="I14" s="14" t="str">
        <f>IF(TAREAS!$I$42="Propuesta",IF(AND(I$7&gt;=TAREAS!$G$42,I$7&lt;=TAREAS!$H$42,CALENDARIO!$C$43=1),"P",""),IF(ISNUMBER(SEARCH(TEXT(I$7,"yyyy-mm-dd"),TAREAS!$J$42)),IF(TAREAS!$I$42="Registro Git","R",IF(TAREAS!$I$42="Despliegue documentado","D","L")),""))</f>
        <v/>
      </c>
      <c r="J14" s="14" t="str">
        <f>IF(TAREAS!$I$42="Propuesta",IF(AND(J$7&gt;=TAREAS!$G$42,J$7&lt;=TAREAS!$H$42,CALENDARIO!$C$44=1),"P",""),IF(ISNUMBER(SEARCH(TEXT(J$7,"yyyy-mm-dd"),TAREAS!$J$42)),IF(TAREAS!$I$42="Registro Git","R",IF(TAREAS!$I$42="Despliegue documentado","D","L")),""))</f>
        <v/>
      </c>
      <c r="K14" s="14" t="str">
        <f>IF(TAREAS!$I$42="Propuesta",IF(AND(K$7&gt;=TAREAS!$G$42,K$7&lt;=TAREAS!$H$42,CALENDARIO!$C$45=1),"P",""),IF(ISNUMBER(SEARCH(TEXT(K$7,"yyyy-mm-dd"),TAREAS!$J$42)),IF(TAREAS!$I$42="Registro Git","R",IF(TAREAS!$I$42="Despliegue documentado","D","L")),""))</f>
        <v/>
      </c>
      <c r="L14" s="15" t="str">
        <f>IF(TAREAS!$I$42="Propuesta",IF(AND(L$7&gt;=TAREAS!$G$42,L$7&lt;=TAREAS!$H$42,CALENDARIO!$C$46=1),"P",""),IF(ISNUMBER(SEARCH(TEXT(L$7,"yyyy-mm-dd"),TAREAS!$J$42)),IF(TAREAS!$I$42="Registro Git","R",IF(TAREAS!$I$42="Despliegue documentado","D","L")),""))</f>
        <v/>
      </c>
      <c r="M14" s="14" t="str">
        <f>IF(TAREAS!$I$42="Propuesta",IF(AND(M$7&gt;=TAREAS!$G$42,M$7&lt;=TAREAS!$H$42,CALENDARIO!$C$47=1),"P",""),IF(ISNUMBER(SEARCH(TEXT(M$7,"yyyy-mm-dd"),TAREAS!$J$42)),IF(TAREAS!$I$42="Registro Git","R",IF(TAREAS!$I$42="Despliegue documentado","D","L")),""))</f>
        <v/>
      </c>
      <c r="N14" s="15" t="str">
        <f>IF(TAREAS!$I$42="Propuesta",IF(AND(N$7&gt;=TAREAS!$G$42,N$7&lt;=TAREAS!$H$42,CALENDARIO!$C$48=1),"P",""),IF(ISNUMBER(SEARCH(TEXT(N$7,"yyyy-mm-dd"),TAREAS!$J$42)),IF(TAREAS!$I$42="Registro Git","R",IF(TAREAS!$I$42="Despliegue documentado","D","L")),""))</f>
        <v/>
      </c>
      <c r="O14" s="15" t="str">
        <f>IF(TAREAS!$I$42="Propuesta",IF(AND(O$7&gt;=TAREAS!$G$42,O$7&lt;=TAREAS!$H$42,CALENDARIO!$C$49=1),"P",""),IF(ISNUMBER(SEARCH(TEXT(O$7,"yyyy-mm-dd"),TAREAS!$J$42)),IF(TAREAS!$I$42="Registro Git","R",IF(TAREAS!$I$42="Despliegue documentado","D","L")),""))</f>
        <v/>
      </c>
      <c r="P14" s="14" t="str">
        <f>IF(TAREAS!$I$42="Propuesta",IF(AND(P$7&gt;=TAREAS!$G$42,P$7&lt;=TAREAS!$H$42,CALENDARIO!$C$50=1),"P",""),IF(ISNUMBER(SEARCH(TEXT(P$7,"yyyy-mm-dd"),TAREAS!$J$42)),IF(TAREAS!$I$42="Registro Git","R",IF(TAREAS!$I$42="Despliegue documentado","D","L")),""))</f>
        <v/>
      </c>
      <c r="Q14" s="14" t="str">
        <f>IF(TAREAS!$I$42="Propuesta",IF(AND(Q$7&gt;=TAREAS!$G$42,Q$7&lt;=TAREAS!$H$42,CALENDARIO!$C$51=1),"P",""),IF(ISNUMBER(SEARCH(TEXT(Q$7,"yyyy-mm-dd"),TAREAS!$J$42)),IF(TAREAS!$I$42="Registro Git","R",IF(TAREAS!$I$42="Despliegue documentado","D","L")),""))</f>
        <v/>
      </c>
      <c r="R14" s="14" t="str">
        <f>IF(TAREAS!$I$42="Propuesta",IF(AND(R$7&gt;=TAREAS!$G$42,R$7&lt;=TAREAS!$H$42,CALENDARIO!$C$52=1),"P",""),IF(ISNUMBER(SEARCH(TEXT(R$7,"yyyy-mm-dd"),TAREAS!$J$42)),IF(TAREAS!$I$42="Registro Git","R",IF(TAREAS!$I$42="Despliegue documentado","D","L")),""))</f>
        <v/>
      </c>
      <c r="S14" s="14" t="str">
        <f>IF(TAREAS!$I$42="Propuesta",IF(AND(S$7&gt;=TAREAS!$G$42,S$7&lt;=TAREAS!$H$42,CALENDARIO!$C$53=1),"P",""),IF(ISNUMBER(SEARCH(TEXT(S$7,"yyyy-mm-dd"),TAREAS!$J$42)),IF(TAREAS!$I$42="Registro Git","R",IF(TAREAS!$I$42="Despliegue documentado","D","L")),""))</f>
        <v/>
      </c>
      <c r="T14" s="14" t="str">
        <f>IF(TAREAS!$I$42="Propuesta",IF(AND(T$7&gt;=TAREAS!$G$42,T$7&lt;=TAREAS!$H$42,CALENDARIO!$C$54=1),"P",""),IF(ISNUMBER(SEARCH(TEXT(T$7,"yyyy-mm-dd"),TAREAS!$J$42)),IF(TAREAS!$I$42="Registro Git","R",IF(TAREAS!$I$42="Despliegue documentado","D","L")),""))</f>
        <v>P</v>
      </c>
      <c r="U14" s="15" t="str">
        <f>IF(TAREAS!$I$42="Propuesta",IF(AND(U$7&gt;=TAREAS!$G$42,U$7&lt;=TAREAS!$H$42,CALENDARIO!$C$55=1),"P",""),IF(ISNUMBER(SEARCH(TEXT(U$7,"yyyy-mm-dd"),TAREAS!$J$42)),IF(TAREAS!$I$42="Registro Git","R",IF(TAREAS!$I$42="Despliegue documentado","D","L")),""))</f>
        <v/>
      </c>
      <c r="V14" s="15" t="str">
        <f>IF(TAREAS!$I$42="Propuesta",IF(AND(V$7&gt;=TAREAS!$G$42,V$7&lt;=TAREAS!$H$42,CALENDARIO!$C$56=1),"P",""),IF(ISNUMBER(SEARCH(TEXT(V$7,"yyyy-mm-dd"),TAREAS!$J$42)),IF(TAREAS!$I$42="Registro Git","R",IF(TAREAS!$I$42="Despliegue documentado","D","L")),""))</f>
        <v/>
      </c>
      <c r="W14" s="14" t="str">
        <f>IF(TAREAS!$I$42="Propuesta",IF(AND(W$7&gt;=TAREAS!$G$42,W$7&lt;=TAREAS!$H$42,CALENDARIO!$C$57=1),"P",""),IF(ISNUMBER(SEARCH(TEXT(W$7,"yyyy-mm-dd"),TAREAS!$J$42)),IF(TAREAS!$I$42="Registro Git","R",IF(TAREAS!$I$42="Despliegue documentado","D","L")),""))</f>
        <v>P</v>
      </c>
      <c r="X14" s="14" t="str">
        <f>IF(TAREAS!$I$42="Propuesta",IF(AND(X$7&gt;=TAREAS!$G$42,X$7&lt;=TAREAS!$H$42,CALENDARIO!$C$58=1),"P",""),IF(ISNUMBER(SEARCH(TEXT(X$7,"yyyy-mm-dd"),TAREAS!$J$42)),IF(TAREAS!$I$42="Registro Git","R",IF(TAREAS!$I$42="Despliegue documentado","D","L")),""))</f>
        <v/>
      </c>
      <c r="Y14" s="14" t="str">
        <f>IF(TAREAS!$I$42="Propuesta",IF(AND(Y$7&gt;=TAREAS!$G$42,Y$7&lt;=TAREAS!$H$42,CALENDARIO!$C$59=1),"P",""),IF(ISNUMBER(SEARCH(TEXT(Y$7,"yyyy-mm-dd"),TAREAS!$J$42)),IF(TAREAS!$I$42="Registro Git","R",IF(TAREAS!$I$42="Despliegue documentado","D","L")),""))</f>
        <v/>
      </c>
      <c r="Z14" s="14" t="str">
        <f>IF(TAREAS!$I$42="Propuesta",IF(AND(Z$7&gt;=TAREAS!$G$42,Z$7&lt;=TAREAS!$H$42,CALENDARIO!$C$60=1),"P",""),IF(ISNUMBER(SEARCH(TEXT(Z$7,"yyyy-mm-dd"),TAREAS!$J$42)),IF(TAREAS!$I$42="Registro Git","R",IF(TAREAS!$I$42="Despliegue documentado","D","L")),""))</f>
        <v/>
      </c>
      <c r="AA14" s="14" t="str">
        <f>IF(TAREAS!$I$42="Propuesta",IF(AND(AA$7&gt;=TAREAS!$G$42,AA$7&lt;=TAREAS!$H$42,CALENDARIO!$C$61=1),"P",""),IF(ISNUMBER(SEARCH(TEXT(AA$7,"yyyy-mm-dd"),TAREAS!$J$42)),IF(TAREAS!$I$42="Registro Git","R",IF(TAREAS!$I$42="Despliegue documentado","D","L")),""))</f>
        <v/>
      </c>
      <c r="AB14" s="15" t="str">
        <f>IF(TAREAS!$I$42="Propuesta",IF(AND(AB$7&gt;=TAREAS!$G$42,AB$7&lt;=TAREAS!$H$42,CALENDARIO!$C$62=1),"P",""),IF(ISNUMBER(SEARCH(TEXT(AB$7,"yyyy-mm-dd"),TAREAS!$J$42)),IF(TAREAS!$I$42="Registro Git","R",IF(TAREAS!$I$42="Despliegue documentado","D","L")),""))</f>
        <v/>
      </c>
      <c r="AC14" s="15" t="str">
        <f>IF(TAREAS!$I$42="Propuesta",IF(AND(AC$7&gt;=TAREAS!$G$42,AC$7&lt;=TAREAS!$H$42,CALENDARIO!$C$63=1),"P",""),IF(ISNUMBER(SEARCH(TEXT(AC$7,"yyyy-mm-dd"),TAREAS!$J$42)),IF(TAREAS!$I$42="Registro Git","R",IF(TAREAS!$I$42="Despliegue documentado","D","L")),""))</f>
        <v/>
      </c>
      <c r="AD14" s="14" t="str">
        <f>IF(TAREAS!$I$42="Propuesta",IF(AND(AD$7&gt;=TAREAS!$G$42,AD$7&lt;=TAREAS!$H$42,CALENDARIO!$C$64=1),"P",""),IF(ISNUMBER(SEARCH(TEXT(AD$7,"yyyy-mm-dd"),TAREAS!$J$42)),IF(TAREAS!$I$42="Registro Git","R",IF(TAREAS!$I$42="Despliegue documentado","D","L")),""))</f>
        <v/>
      </c>
      <c r="AE14" s="14" t="str">
        <f>IF(TAREAS!$I$42="Propuesta",IF(AND(AE$7&gt;=TAREAS!$G$42,AE$7&lt;=TAREAS!$H$42,CALENDARIO!$C$65=1),"P",""),IF(ISNUMBER(SEARCH(TEXT(AE$7,"yyyy-mm-dd"),TAREAS!$J$42)),IF(TAREAS!$I$42="Registro Git","R",IF(TAREAS!$I$42="Despliegue documentado","D","L")),""))</f>
        <v/>
      </c>
      <c r="AF14" s="14" t="str">
        <f>IF(TAREAS!$I$42="Propuesta",IF(AND(AF$7&gt;=TAREAS!$G$42,AF$7&lt;=TAREAS!$H$42,CALENDARIO!$C$66=1),"P",""),IF(ISNUMBER(SEARCH(TEXT(AF$7,"yyyy-mm-dd"),TAREAS!$J$42)),IF(TAREAS!$I$42="Registro Git","R",IF(TAREAS!$I$42="Despliegue documentado","D","L")),""))</f>
        <v/>
      </c>
      <c r="AG14" s="14" t="str">
        <f>IF(TAREAS!$I$42="Propuesta",IF(AND(AG$7&gt;=TAREAS!$G$42,AG$7&lt;=TAREAS!$H$42,CALENDARIO!$C$67=1),"P",""),IF(ISNUMBER(SEARCH(TEXT(AG$7,"yyyy-mm-dd"),TAREAS!$J$42)),IF(TAREAS!$I$42="Registro Git","R",IF(TAREAS!$I$42="Despliegue documentado","D","L")),""))</f>
        <v/>
      </c>
      <c r="AH14" s="14" t="str">
        <f>IF(TAREAS!$I$42="Propuesta",IF(AND(AH$7&gt;=TAREAS!$G$42,AH$7&lt;=TAREAS!$H$42,CALENDARIO!$C$68=1),"P",""),IF(ISNUMBER(SEARCH(TEXT(AH$7,"yyyy-mm-dd"),TAREAS!$J$42)),IF(TAREAS!$I$42="Registro Git","R",IF(TAREAS!$I$42="Despliegue documentado","D","L")),""))</f>
        <v/>
      </c>
      <c r="AI14" s="15" t="str">
        <f>IF(TAREAS!$I$42="Propuesta",IF(AND(AI$7&gt;=TAREAS!$G$42,AI$7&lt;=TAREAS!$H$42,CALENDARIO!$C$69=1),"P",""),IF(ISNUMBER(SEARCH(TEXT(AI$7,"yyyy-mm-dd"),TAREAS!$J$42)),IF(TAREAS!$I$42="Registro Git","R",IF(TAREAS!$I$42="Despliegue documentado","D","L")),""))</f>
        <v/>
      </c>
    </row>
    <row r="15" spans="1:35" ht="72" customHeight="1" x14ac:dyDescent="0.25">
      <c r="A15" s="18" t="str">
        <f>TAREAS!C43</f>
        <v>HU-G10 · Como responsable de área, quiero actualizar equipo, horarios y necesidades.</v>
      </c>
      <c r="B15" s="12" t="str">
        <f>TAREAS!A43&amp;" · "&amp;TAREAS!D43</f>
        <v>T-039 · Revisar y actualizar configuración del área: Clínica</v>
      </c>
      <c r="C15" s="12" t="str">
        <f>TAREAS!F43</f>
        <v>Sistemas + responsable del área</v>
      </c>
      <c r="D15" s="13">
        <f t="shared" si="0"/>
        <v>2</v>
      </c>
      <c r="E15" s="14" t="str">
        <f>IF(TAREAS!$I$43="Propuesta",IF(AND(E$7&gt;=TAREAS!$G$43,E$7&lt;=TAREAS!$H$43,CALENDARIO!$C$39=1),"P",""),IF(ISNUMBER(SEARCH(TEXT(E$7,"yyyy-mm-dd"),TAREAS!$J$43)),IF(TAREAS!$I$43="Registro Git","R",IF(TAREAS!$I$43="Despliegue documentado","D","L")),""))</f>
        <v/>
      </c>
      <c r="F15" s="14" t="str">
        <f>IF(TAREAS!$I$43="Propuesta",IF(AND(F$7&gt;=TAREAS!$G$43,F$7&lt;=TAREAS!$H$43,CALENDARIO!$C$40=1),"P",""),IF(ISNUMBER(SEARCH(TEXT(F$7,"yyyy-mm-dd"),TAREAS!$J$43)),IF(TAREAS!$I$43="Registro Git","R",IF(TAREAS!$I$43="Despliegue documentado","D","L")),""))</f>
        <v/>
      </c>
      <c r="G15" s="15" t="str">
        <f>IF(TAREAS!$I$43="Propuesta",IF(AND(G$7&gt;=TAREAS!$G$43,G$7&lt;=TAREAS!$H$43,CALENDARIO!$C$41=1),"P",""),IF(ISNUMBER(SEARCH(TEXT(G$7,"yyyy-mm-dd"),TAREAS!$J$43)),IF(TAREAS!$I$43="Registro Git","R",IF(TAREAS!$I$43="Despliegue documentado","D","L")),""))</f>
        <v/>
      </c>
      <c r="H15" s="15" t="str">
        <f>IF(TAREAS!$I$43="Propuesta",IF(AND(H$7&gt;=TAREAS!$G$43,H$7&lt;=TAREAS!$H$43,CALENDARIO!$C$42=1),"P",""),IF(ISNUMBER(SEARCH(TEXT(H$7,"yyyy-mm-dd"),TAREAS!$J$43)),IF(TAREAS!$I$43="Registro Git","R",IF(TAREAS!$I$43="Despliegue documentado","D","L")),""))</f>
        <v/>
      </c>
      <c r="I15" s="14" t="str">
        <f>IF(TAREAS!$I$43="Propuesta",IF(AND(I$7&gt;=TAREAS!$G$43,I$7&lt;=TAREAS!$H$43,CALENDARIO!$C$43=1),"P",""),IF(ISNUMBER(SEARCH(TEXT(I$7,"yyyy-mm-dd"),TAREAS!$J$43)),IF(TAREAS!$I$43="Registro Git","R",IF(TAREAS!$I$43="Despliegue documentado","D","L")),""))</f>
        <v/>
      </c>
      <c r="J15" s="14" t="str">
        <f>IF(TAREAS!$I$43="Propuesta",IF(AND(J$7&gt;=TAREAS!$G$43,J$7&lt;=TAREAS!$H$43,CALENDARIO!$C$44=1),"P",""),IF(ISNUMBER(SEARCH(TEXT(J$7,"yyyy-mm-dd"),TAREAS!$J$43)),IF(TAREAS!$I$43="Registro Git","R",IF(TAREAS!$I$43="Despliegue documentado","D","L")),""))</f>
        <v/>
      </c>
      <c r="K15" s="14" t="str">
        <f>IF(TAREAS!$I$43="Propuesta",IF(AND(K$7&gt;=TAREAS!$G$43,K$7&lt;=TAREAS!$H$43,CALENDARIO!$C$45=1),"P",""),IF(ISNUMBER(SEARCH(TEXT(K$7,"yyyy-mm-dd"),TAREAS!$J$43)),IF(TAREAS!$I$43="Registro Git","R",IF(TAREAS!$I$43="Despliegue documentado","D","L")),""))</f>
        <v/>
      </c>
      <c r="L15" s="15" t="str">
        <f>IF(TAREAS!$I$43="Propuesta",IF(AND(L$7&gt;=TAREAS!$G$43,L$7&lt;=TAREAS!$H$43,CALENDARIO!$C$46=1),"P",""),IF(ISNUMBER(SEARCH(TEXT(L$7,"yyyy-mm-dd"),TAREAS!$J$43)),IF(TAREAS!$I$43="Registro Git","R",IF(TAREAS!$I$43="Despliegue documentado","D","L")),""))</f>
        <v/>
      </c>
      <c r="M15" s="14" t="str">
        <f>IF(TAREAS!$I$43="Propuesta",IF(AND(M$7&gt;=TAREAS!$G$43,M$7&lt;=TAREAS!$H$43,CALENDARIO!$C$47=1),"P",""),IF(ISNUMBER(SEARCH(TEXT(M$7,"yyyy-mm-dd"),TAREAS!$J$43)),IF(TAREAS!$I$43="Registro Git","R",IF(TAREAS!$I$43="Despliegue documentado","D","L")),""))</f>
        <v/>
      </c>
      <c r="N15" s="15" t="str">
        <f>IF(TAREAS!$I$43="Propuesta",IF(AND(N$7&gt;=TAREAS!$G$43,N$7&lt;=TAREAS!$H$43,CALENDARIO!$C$48=1),"P",""),IF(ISNUMBER(SEARCH(TEXT(N$7,"yyyy-mm-dd"),TAREAS!$J$43)),IF(TAREAS!$I$43="Registro Git","R",IF(TAREAS!$I$43="Despliegue documentado","D","L")),""))</f>
        <v/>
      </c>
      <c r="O15" s="15" t="str">
        <f>IF(TAREAS!$I$43="Propuesta",IF(AND(O$7&gt;=TAREAS!$G$43,O$7&lt;=TAREAS!$H$43,CALENDARIO!$C$49=1),"P",""),IF(ISNUMBER(SEARCH(TEXT(O$7,"yyyy-mm-dd"),TAREAS!$J$43)),IF(TAREAS!$I$43="Registro Git","R",IF(TAREAS!$I$43="Despliegue documentado","D","L")),""))</f>
        <v/>
      </c>
      <c r="P15" s="14" t="str">
        <f>IF(TAREAS!$I$43="Propuesta",IF(AND(P$7&gt;=TAREAS!$G$43,P$7&lt;=TAREAS!$H$43,CALENDARIO!$C$50=1),"P",""),IF(ISNUMBER(SEARCH(TEXT(P$7,"yyyy-mm-dd"),TAREAS!$J$43)),IF(TAREAS!$I$43="Registro Git","R",IF(TAREAS!$I$43="Despliegue documentado","D","L")),""))</f>
        <v/>
      </c>
      <c r="Q15" s="14" t="str">
        <f>IF(TAREAS!$I$43="Propuesta",IF(AND(Q$7&gt;=TAREAS!$G$43,Q$7&lt;=TAREAS!$H$43,CALENDARIO!$C$51=1),"P",""),IF(ISNUMBER(SEARCH(TEXT(Q$7,"yyyy-mm-dd"),TAREAS!$J$43)),IF(TAREAS!$I$43="Registro Git","R",IF(TAREAS!$I$43="Despliegue documentado","D","L")),""))</f>
        <v/>
      </c>
      <c r="R15" s="14" t="str">
        <f>IF(TAREAS!$I$43="Propuesta",IF(AND(R$7&gt;=TAREAS!$G$43,R$7&lt;=TAREAS!$H$43,CALENDARIO!$C$52=1),"P",""),IF(ISNUMBER(SEARCH(TEXT(R$7,"yyyy-mm-dd"),TAREAS!$J$43)),IF(TAREAS!$I$43="Registro Git","R",IF(TAREAS!$I$43="Despliegue documentado","D","L")),""))</f>
        <v/>
      </c>
      <c r="S15" s="14" t="str">
        <f>IF(TAREAS!$I$43="Propuesta",IF(AND(S$7&gt;=TAREAS!$G$43,S$7&lt;=TAREAS!$H$43,CALENDARIO!$C$53=1),"P",""),IF(ISNUMBER(SEARCH(TEXT(S$7,"yyyy-mm-dd"),TAREAS!$J$43)),IF(TAREAS!$I$43="Registro Git","R",IF(TAREAS!$I$43="Despliegue documentado","D","L")),""))</f>
        <v/>
      </c>
      <c r="T15" s="14" t="str">
        <f>IF(TAREAS!$I$43="Propuesta",IF(AND(T$7&gt;=TAREAS!$G$43,T$7&lt;=TAREAS!$H$43,CALENDARIO!$C$54=1),"P",""),IF(ISNUMBER(SEARCH(TEXT(T$7,"yyyy-mm-dd"),TAREAS!$J$43)),IF(TAREAS!$I$43="Registro Git","R",IF(TAREAS!$I$43="Despliegue documentado","D","L")),""))</f>
        <v/>
      </c>
      <c r="U15" s="15" t="str">
        <f>IF(TAREAS!$I$43="Propuesta",IF(AND(U$7&gt;=TAREAS!$G$43,U$7&lt;=TAREAS!$H$43,CALENDARIO!$C$55=1),"P",""),IF(ISNUMBER(SEARCH(TEXT(U$7,"yyyy-mm-dd"),TAREAS!$J$43)),IF(TAREAS!$I$43="Registro Git","R",IF(TAREAS!$I$43="Despliegue documentado","D","L")),""))</f>
        <v/>
      </c>
      <c r="V15" s="15" t="str">
        <f>IF(TAREAS!$I$43="Propuesta",IF(AND(V$7&gt;=TAREAS!$G$43,V$7&lt;=TAREAS!$H$43,CALENDARIO!$C$56=1),"P",""),IF(ISNUMBER(SEARCH(TEXT(V$7,"yyyy-mm-dd"),TAREAS!$J$43)),IF(TAREAS!$I$43="Registro Git","R",IF(TAREAS!$I$43="Despliegue documentado","D","L")),""))</f>
        <v/>
      </c>
      <c r="W15" s="14" t="str">
        <f>IF(TAREAS!$I$43="Propuesta",IF(AND(W$7&gt;=TAREAS!$G$43,W$7&lt;=TAREAS!$H$43,CALENDARIO!$C$57=1),"P",""),IF(ISNUMBER(SEARCH(TEXT(W$7,"yyyy-mm-dd"),TAREAS!$J$43)),IF(TAREAS!$I$43="Registro Git","R",IF(TAREAS!$I$43="Despliegue documentado","D","L")),""))</f>
        <v/>
      </c>
      <c r="X15" s="14" t="str">
        <f>IF(TAREAS!$I$43="Propuesta",IF(AND(X$7&gt;=TAREAS!$G$43,X$7&lt;=TAREAS!$H$43,CALENDARIO!$C$58=1),"P",""),IF(ISNUMBER(SEARCH(TEXT(X$7,"yyyy-mm-dd"),TAREAS!$J$43)),IF(TAREAS!$I$43="Registro Git","R",IF(TAREAS!$I$43="Despliegue documentado","D","L")),""))</f>
        <v>P</v>
      </c>
      <c r="Y15" s="14" t="str">
        <f>IF(TAREAS!$I$43="Propuesta",IF(AND(Y$7&gt;=TAREAS!$G$43,Y$7&lt;=TAREAS!$H$43,CALENDARIO!$C$59=1),"P",""),IF(ISNUMBER(SEARCH(TEXT(Y$7,"yyyy-mm-dd"),TAREAS!$J$43)),IF(TAREAS!$I$43="Registro Git","R",IF(TAREAS!$I$43="Despliegue documentado","D","L")),""))</f>
        <v>P</v>
      </c>
      <c r="Z15" s="14" t="str">
        <f>IF(TAREAS!$I$43="Propuesta",IF(AND(Z$7&gt;=TAREAS!$G$43,Z$7&lt;=TAREAS!$H$43,CALENDARIO!$C$60=1),"P",""),IF(ISNUMBER(SEARCH(TEXT(Z$7,"yyyy-mm-dd"),TAREAS!$J$43)),IF(TAREAS!$I$43="Registro Git","R",IF(TAREAS!$I$43="Despliegue documentado","D","L")),""))</f>
        <v/>
      </c>
      <c r="AA15" s="14" t="str">
        <f>IF(TAREAS!$I$43="Propuesta",IF(AND(AA$7&gt;=TAREAS!$G$43,AA$7&lt;=TAREAS!$H$43,CALENDARIO!$C$61=1),"P",""),IF(ISNUMBER(SEARCH(TEXT(AA$7,"yyyy-mm-dd"),TAREAS!$J$43)),IF(TAREAS!$I$43="Registro Git","R",IF(TAREAS!$I$43="Despliegue documentado","D","L")),""))</f>
        <v/>
      </c>
      <c r="AB15" s="15" t="str">
        <f>IF(TAREAS!$I$43="Propuesta",IF(AND(AB$7&gt;=TAREAS!$G$43,AB$7&lt;=TAREAS!$H$43,CALENDARIO!$C$62=1),"P",""),IF(ISNUMBER(SEARCH(TEXT(AB$7,"yyyy-mm-dd"),TAREAS!$J$43)),IF(TAREAS!$I$43="Registro Git","R",IF(TAREAS!$I$43="Despliegue documentado","D","L")),""))</f>
        <v/>
      </c>
      <c r="AC15" s="15" t="str">
        <f>IF(TAREAS!$I$43="Propuesta",IF(AND(AC$7&gt;=TAREAS!$G$43,AC$7&lt;=TAREAS!$H$43,CALENDARIO!$C$63=1),"P",""),IF(ISNUMBER(SEARCH(TEXT(AC$7,"yyyy-mm-dd"),TAREAS!$J$43)),IF(TAREAS!$I$43="Registro Git","R",IF(TAREAS!$I$43="Despliegue documentado","D","L")),""))</f>
        <v/>
      </c>
      <c r="AD15" s="14" t="str">
        <f>IF(TAREAS!$I$43="Propuesta",IF(AND(AD$7&gt;=TAREAS!$G$43,AD$7&lt;=TAREAS!$H$43,CALENDARIO!$C$64=1),"P",""),IF(ISNUMBER(SEARCH(TEXT(AD$7,"yyyy-mm-dd"),TAREAS!$J$43)),IF(TAREAS!$I$43="Registro Git","R",IF(TAREAS!$I$43="Despliegue documentado","D","L")),""))</f>
        <v/>
      </c>
      <c r="AE15" s="14" t="str">
        <f>IF(TAREAS!$I$43="Propuesta",IF(AND(AE$7&gt;=TAREAS!$G$43,AE$7&lt;=TAREAS!$H$43,CALENDARIO!$C$65=1),"P",""),IF(ISNUMBER(SEARCH(TEXT(AE$7,"yyyy-mm-dd"),TAREAS!$J$43)),IF(TAREAS!$I$43="Registro Git","R",IF(TAREAS!$I$43="Despliegue documentado","D","L")),""))</f>
        <v/>
      </c>
      <c r="AF15" s="14" t="str">
        <f>IF(TAREAS!$I$43="Propuesta",IF(AND(AF$7&gt;=TAREAS!$G$43,AF$7&lt;=TAREAS!$H$43,CALENDARIO!$C$66=1),"P",""),IF(ISNUMBER(SEARCH(TEXT(AF$7,"yyyy-mm-dd"),TAREAS!$J$43)),IF(TAREAS!$I$43="Registro Git","R",IF(TAREAS!$I$43="Despliegue documentado","D","L")),""))</f>
        <v/>
      </c>
      <c r="AG15" s="14" t="str">
        <f>IF(TAREAS!$I$43="Propuesta",IF(AND(AG$7&gt;=TAREAS!$G$43,AG$7&lt;=TAREAS!$H$43,CALENDARIO!$C$67=1),"P",""),IF(ISNUMBER(SEARCH(TEXT(AG$7,"yyyy-mm-dd"),TAREAS!$J$43)),IF(TAREAS!$I$43="Registro Git","R",IF(TAREAS!$I$43="Despliegue documentado","D","L")),""))</f>
        <v/>
      </c>
      <c r="AH15" s="14" t="str">
        <f>IF(TAREAS!$I$43="Propuesta",IF(AND(AH$7&gt;=TAREAS!$G$43,AH$7&lt;=TAREAS!$H$43,CALENDARIO!$C$68=1),"P",""),IF(ISNUMBER(SEARCH(TEXT(AH$7,"yyyy-mm-dd"),TAREAS!$J$43)),IF(TAREAS!$I$43="Registro Git","R",IF(TAREAS!$I$43="Despliegue documentado","D","L")),""))</f>
        <v/>
      </c>
      <c r="AI15" s="15" t="str">
        <f>IF(TAREAS!$I$43="Propuesta",IF(AND(AI$7&gt;=TAREAS!$G$43,AI$7&lt;=TAREAS!$H$43,CALENDARIO!$C$69=1),"P",""),IF(ISNUMBER(SEARCH(TEXT(AI$7,"yyyy-mm-dd"),TAREAS!$J$43)),IF(TAREAS!$I$43="Registro Git","R",IF(TAREAS!$I$43="Despliegue documentado","D","L")),""))</f>
        <v/>
      </c>
    </row>
    <row r="16" spans="1:35" ht="72" customHeight="1" x14ac:dyDescent="0.25">
      <c r="A16" s="18" t="str">
        <f>TAREAS!C44</f>
        <v>HU-G10 · Como responsable de área, quiero actualizar equipo, horarios y necesidades.</v>
      </c>
      <c r="B16" s="12" t="str">
        <f>TAREAS!A44&amp;" · "&amp;TAREAS!D44</f>
        <v>T-040 · Revisar y actualizar configuración del área: Audiovisuales</v>
      </c>
      <c r="C16" s="12" t="str">
        <f>TAREAS!F44</f>
        <v>Sistemas + responsable del área</v>
      </c>
      <c r="D16" s="13">
        <f t="shared" si="0"/>
        <v>2</v>
      </c>
      <c r="E16" s="14" t="str">
        <f>IF(TAREAS!$I$44="Propuesta",IF(AND(E$7&gt;=TAREAS!$G$44,E$7&lt;=TAREAS!$H$44,CALENDARIO!$C$39=1),"P",""),IF(ISNUMBER(SEARCH(TEXT(E$7,"yyyy-mm-dd"),TAREAS!$J$44)),IF(TAREAS!$I$44="Registro Git","R",IF(TAREAS!$I$44="Despliegue documentado","D","L")),""))</f>
        <v/>
      </c>
      <c r="F16" s="14" t="str">
        <f>IF(TAREAS!$I$44="Propuesta",IF(AND(F$7&gt;=TAREAS!$G$44,F$7&lt;=TAREAS!$H$44,CALENDARIO!$C$40=1),"P",""),IF(ISNUMBER(SEARCH(TEXT(F$7,"yyyy-mm-dd"),TAREAS!$J$44)),IF(TAREAS!$I$44="Registro Git","R",IF(TAREAS!$I$44="Despliegue documentado","D","L")),""))</f>
        <v/>
      </c>
      <c r="G16" s="15" t="str">
        <f>IF(TAREAS!$I$44="Propuesta",IF(AND(G$7&gt;=TAREAS!$G$44,G$7&lt;=TAREAS!$H$44,CALENDARIO!$C$41=1),"P",""),IF(ISNUMBER(SEARCH(TEXT(G$7,"yyyy-mm-dd"),TAREAS!$J$44)),IF(TAREAS!$I$44="Registro Git","R",IF(TAREAS!$I$44="Despliegue documentado","D","L")),""))</f>
        <v/>
      </c>
      <c r="H16" s="15" t="str">
        <f>IF(TAREAS!$I$44="Propuesta",IF(AND(H$7&gt;=TAREAS!$G$44,H$7&lt;=TAREAS!$H$44,CALENDARIO!$C$42=1),"P",""),IF(ISNUMBER(SEARCH(TEXT(H$7,"yyyy-mm-dd"),TAREAS!$J$44)),IF(TAREAS!$I$44="Registro Git","R",IF(TAREAS!$I$44="Despliegue documentado","D","L")),""))</f>
        <v/>
      </c>
      <c r="I16" s="14" t="str">
        <f>IF(TAREAS!$I$44="Propuesta",IF(AND(I$7&gt;=TAREAS!$G$44,I$7&lt;=TAREAS!$H$44,CALENDARIO!$C$43=1),"P",""),IF(ISNUMBER(SEARCH(TEXT(I$7,"yyyy-mm-dd"),TAREAS!$J$44)),IF(TAREAS!$I$44="Registro Git","R",IF(TAREAS!$I$44="Despliegue documentado","D","L")),""))</f>
        <v/>
      </c>
      <c r="J16" s="14" t="str">
        <f>IF(TAREAS!$I$44="Propuesta",IF(AND(J$7&gt;=TAREAS!$G$44,J$7&lt;=TAREAS!$H$44,CALENDARIO!$C$44=1),"P",""),IF(ISNUMBER(SEARCH(TEXT(J$7,"yyyy-mm-dd"),TAREAS!$J$44)),IF(TAREAS!$I$44="Registro Git","R",IF(TAREAS!$I$44="Despliegue documentado","D","L")),""))</f>
        <v/>
      </c>
      <c r="K16" s="14" t="str">
        <f>IF(TAREAS!$I$44="Propuesta",IF(AND(K$7&gt;=TAREAS!$G$44,K$7&lt;=TAREAS!$H$44,CALENDARIO!$C$45=1),"P",""),IF(ISNUMBER(SEARCH(TEXT(K$7,"yyyy-mm-dd"),TAREAS!$J$44)),IF(TAREAS!$I$44="Registro Git","R",IF(TAREAS!$I$44="Despliegue documentado","D","L")),""))</f>
        <v/>
      </c>
      <c r="L16" s="15" t="str">
        <f>IF(TAREAS!$I$44="Propuesta",IF(AND(L$7&gt;=TAREAS!$G$44,L$7&lt;=TAREAS!$H$44,CALENDARIO!$C$46=1),"P",""),IF(ISNUMBER(SEARCH(TEXT(L$7,"yyyy-mm-dd"),TAREAS!$J$44)),IF(TAREAS!$I$44="Registro Git","R",IF(TAREAS!$I$44="Despliegue documentado","D","L")),""))</f>
        <v/>
      </c>
      <c r="M16" s="14" t="str">
        <f>IF(TAREAS!$I$44="Propuesta",IF(AND(M$7&gt;=TAREAS!$G$44,M$7&lt;=TAREAS!$H$44,CALENDARIO!$C$47=1),"P",""),IF(ISNUMBER(SEARCH(TEXT(M$7,"yyyy-mm-dd"),TAREAS!$J$44)),IF(TAREAS!$I$44="Registro Git","R",IF(TAREAS!$I$44="Despliegue documentado","D","L")),""))</f>
        <v/>
      </c>
      <c r="N16" s="15" t="str">
        <f>IF(TAREAS!$I$44="Propuesta",IF(AND(N$7&gt;=TAREAS!$G$44,N$7&lt;=TAREAS!$H$44,CALENDARIO!$C$48=1),"P",""),IF(ISNUMBER(SEARCH(TEXT(N$7,"yyyy-mm-dd"),TAREAS!$J$44)),IF(TAREAS!$I$44="Registro Git","R",IF(TAREAS!$I$44="Despliegue documentado","D","L")),""))</f>
        <v/>
      </c>
      <c r="O16" s="15" t="str">
        <f>IF(TAREAS!$I$44="Propuesta",IF(AND(O$7&gt;=TAREAS!$G$44,O$7&lt;=TAREAS!$H$44,CALENDARIO!$C$49=1),"P",""),IF(ISNUMBER(SEARCH(TEXT(O$7,"yyyy-mm-dd"),TAREAS!$J$44)),IF(TAREAS!$I$44="Registro Git","R",IF(TAREAS!$I$44="Despliegue documentado","D","L")),""))</f>
        <v/>
      </c>
      <c r="P16" s="14" t="str">
        <f>IF(TAREAS!$I$44="Propuesta",IF(AND(P$7&gt;=TAREAS!$G$44,P$7&lt;=TAREAS!$H$44,CALENDARIO!$C$50=1),"P",""),IF(ISNUMBER(SEARCH(TEXT(P$7,"yyyy-mm-dd"),TAREAS!$J$44)),IF(TAREAS!$I$44="Registro Git","R",IF(TAREAS!$I$44="Despliegue documentado","D","L")),""))</f>
        <v/>
      </c>
      <c r="Q16" s="14" t="str">
        <f>IF(TAREAS!$I$44="Propuesta",IF(AND(Q$7&gt;=TAREAS!$G$44,Q$7&lt;=TAREAS!$H$44,CALENDARIO!$C$51=1),"P",""),IF(ISNUMBER(SEARCH(TEXT(Q$7,"yyyy-mm-dd"),TAREAS!$J$44)),IF(TAREAS!$I$44="Registro Git","R",IF(TAREAS!$I$44="Despliegue documentado","D","L")),""))</f>
        <v/>
      </c>
      <c r="R16" s="14" t="str">
        <f>IF(TAREAS!$I$44="Propuesta",IF(AND(R$7&gt;=TAREAS!$G$44,R$7&lt;=TAREAS!$H$44,CALENDARIO!$C$52=1),"P",""),IF(ISNUMBER(SEARCH(TEXT(R$7,"yyyy-mm-dd"),TAREAS!$J$44)),IF(TAREAS!$I$44="Registro Git","R",IF(TAREAS!$I$44="Despliegue documentado","D","L")),""))</f>
        <v/>
      </c>
      <c r="S16" s="14" t="str">
        <f>IF(TAREAS!$I$44="Propuesta",IF(AND(S$7&gt;=TAREAS!$G$44,S$7&lt;=TAREAS!$H$44,CALENDARIO!$C$53=1),"P",""),IF(ISNUMBER(SEARCH(TEXT(S$7,"yyyy-mm-dd"),TAREAS!$J$44)),IF(TAREAS!$I$44="Registro Git","R",IF(TAREAS!$I$44="Despliegue documentado","D","L")),""))</f>
        <v/>
      </c>
      <c r="T16" s="14" t="str">
        <f>IF(TAREAS!$I$44="Propuesta",IF(AND(T$7&gt;=TAREAS!$G$44,T$7&lt;=TAREAS!$H$44,CALENDARIO!$C$54=1),"P",""),IF(ISNUMBER(SEARCH(TEXT(T$7,"yyyy-mm-dd"),TAREAS!$J$44)),IF(TAREAS!$I$44="Registro Git","R",IF(TAREAS!$I$44="Despliegue documentado","D","L")),""))</f>
        <v/>
      </c>
      <c r="U16" s="15" t="str">
        <f>IF(TAREAS!$I$44="Propuesta",IF(AND(U$7&gt;=TAREAS!$G$44,U$7&lt;=TAREAS!$H$44,CALENDARIO!$C$55=1),"P",""),IF(ISNUMBER(SEARCH(TEXT(U$7,"yyyy-mm-dd"),TAREAS!$J$44)),IF(TAREAS!$I$44="Registro Git","R",IF(TAREAS!$I$44="Despliegue documentado","D","L")),""))</f>
        <v/>
      </c>
      <c r="V16" s="15" t="str">
        <f>IF(TAREAS!$I$44="Propuesta",IF(AND(V$7&gt;=TAREAS!$G$44,V$7&lt;=TAREAS!$H$44,CALENDARIO!$C$56=1),"P",""),IF(ISNUMBER(SEARCH(TEXT(V$7,"yyyy-mm-dd"),TAREAS!$J$44)),IF(TAREAS!$I$44="Registro Git","R",IF(TAREAS!$I$44="Despliegue documentado","D","L")),""))</f>
        <v/>
      </c>
      <c r="W16" s="14" t="str">
        <f>IF(TAREAS!$I$44="Propuesta",IF(AND(W$7&gt;=TAREAS!$G$44,W$7&lt;=TAREAS!$H$44,CALENDARIO!$C$57=1),"P",""),IF(ISNUMBER(SEARCH(TEXT(W$7,"yyyy-mm-dd"),TAREAS!$J$44)),IF(TAREAS!$I$44="Registro Git","R",IF(TAREAS!$I$44="Despliegue documentado","D","L")),""))</f>
        <v/>
      </c>
      <c r="X16" s="14" t="str">
        <f>IF(TAREAS!$I$44="Propuesta",IF(AND(X$7&gt;=TAREAS!$G$44,X$7&lt;=TAREAS!$H$44,CALENDARIO!$C$58=1),"P",""),IF(ISNUMBER(SEARCH(TEXT(X$7,"yyyy-mm-dd"),TAREAS!$J$44)),IF(TAREAS!$I$44="Registro Git","R",IF(TAREAS!$I$44="Despliegue documentado","D","L")),""))</f>
        <v/>
      </c>
      <c r="Y16" s="14" t="str">
        <f>IF(TAREAS!$I$44="Propuesta",IF(AND(Y$7&gt;=TAREAS!$G$44,Y$7&lt;=TAREAS!$H$44,CALENDARIO!$C$59=1),"P",""),IF(ISNUMBER(SEARCH(TEXT(Y$7,"yyyy-mm-dd"),TAREAS!$J$44)),IF(TAREAS!$I$44="Registro Git","R",IF(TAREAS!$I$44="Despliegue documentado","D","L")),""))</f>
        <v/>
      </c>
      <c r="Z16" s="14" t="str">
        <f>IF(TAREAS!$I$44="Propuesta",IF(AND(Z$7&gt;=TAREAS!$G$44,Z$7&lt;=TAREAS!$H$44,CALENDARIO!$C$60=1),"P",""),IF(ISNUMBER(SEARCH(TEXT(Z$7,"yyyy-mm-dd"),TAREAS!$J$44)),IF(TAREAS!$I$44="Registro Git","R",IF(TAREAS!$I$44="Despliegue documentado","D","L")),""))</f>
        <v>P</v>
      </c>
      <c r="AA16" s="14" t="str">
        <f>IF(TAREAS!$I$44="Propuesta",IF(AND(AA$7&gt;=TAREAS!$G$44,AA$7&lt;=TAREAS!$H$44,CALENDARIO!$C$61=1),"P",""),IF(ISNUMBER(SEARCH(TEXT(AA$7,"yyyy-mm-dd"),TAREAS!$J$44)),IF(TAREAS!$I$44="Registro Git","R",IF(TAREAS!$I$44="Despliegue documentado","D","L")),""))</f>
        <v>P</v>
      </c>
      <c r="AB16" s="15" t="str">
        <f>IF(TAREAS!$I$44="Propuesta",IF(AND(AB$7&gt;=TAREAS!$G$44,AB$7&lt;=TAREAS!$H$44,CALENDARIO!$C$62=1),"P",""),IF(ISNUMBER(SEARCH(TEXT(AB$7,"yyyy-mm-dd"),TAREAS!$J$44)),IF(TAREAS!$I$44="Registro Git","R",IF(TAREAS!$I$44="Despliegue documentado","D","L")),""))</f>
        <v/>
      </c>
      <c r="AC16" s="15" t="str">
        <f>IF(TAREAS!$I$44="Propuesta",IF(AND(AC$7&gt;=TAREAS!$G$44,AC$7&lt;=TAREAS!$H$44,CALENDARIO!$C$63=1),"P",""),IF(ISNUMBER(SEARCH(TEXT(AC$7,"yyyy-mm-dd"),TAREAS!$J$44)),IF(TAREAS!$I$44="Registro Git","R",IF(TAREAS!$I$44="Despliegue documentado","D","L")),""))</f>
        <v/>
      </c>
      <c r="AD16" s="14" t="str">
        <f>IF(TAREAS!$I$44="Propuesta",IF(AND(AD$7&gt;=TAREAS!$G$44,AD$7&lt;=TAREAS!$H$44,CALENDARIO!$C$64=1),"P",""),IF(ISNUMBER(SEARCH(TEXT(AD$7,"yyyy-mm-dd"),TAREAS!$J$44)),IF(TAREAS!$I$44="Registro Git","R",IF(TAREAS!$I$44="Despliegue documentado","D","L")),""))</f>
        <v/>
      </c>
      <c r="AE16" s="14" t="str">
        <f>IF(TAREAS!$I$44="Propuesta",IF(AND(AE$7&gt;=TAREAS!$G$44,AE$7&lt;=TAREAS!$H$44,CALENDARIO!$C$65=1),"P",""),IF(ISNUMBER(SEARCH(TEXT(AE$7,"yyyy-mm-dd"),TAREAS!$J$44)),IF(TAREAS!$I$44="Registro Git","R",IF(TAREAS!$I$44="Despliegue documentado","D","L")),""))</f>
        <v/>
      </c>
      <c r="AF16" s="14" t="str">
        <f>IF(TAREAS!$I$44="Propuesta",IF(AND(AF$7&gt;=TAREAS!$G$44,AF$7&lt;=TAREAS!$H$44,CALENDARIO!$C$66=1),"P",""),IF(ISNUMBER(SEARCH(TEXT(AF$7,"yyyy-mm-dd"),TAREAS!$J$44)),IF(TAREAS!$I$44="Registro Git","R",IF(TAREAS!$I$44="Despliegue documentado","D","L")),""))</f>
        <v/>
      </c>
      <c r="AG16" s="14" t="str">
        <f>IF(TAREAS!$I$44="Propuesta",IF(AND(AG$7&gt;=TAREAS!$G$44,AG$7&lt;=TAREAS!$H$44,CALENDARIO!$C$67=1),"P",""),IF(ISNUMBER(SEARCH(TEXT(AG$7,"yyyy-mm-dd"),TAREAS!$J$44)),IF(TAREAS!$I$44="Registro Git","R",IF(TAREAS!$I$44="Despliegue documentado","D","L")),""))</f>
        <v/>
      </c>
      <c r="AH16" s="14" t="str">
        <f>IF(TAREAS!$I$44="Propuesta",IF(AND(AH$7&gt;=TAREAS!$G$44,AH$7&lt;=TAREAS!$H$44,CALENDARIO!$C$68=1),"P",""),IF(ISNUMBER(SEARCH(TEXT(AH$7,"yyyy-mm-dd"),TAREAS!$J$44)),IF(TAREAS!$I$44="Registro Git","R",IF(TAREAS!$I$44="Despliegue documentado","D","L")),""))</f>
        <v/>
      </c>
      <c r="AI16" s="15" t="str">
        <f>IF(TAREAS!$I$44="Propuesta",IF(AND(AI$7&gt;=TAREAS!$G$44,AI$7&lt;=TAREAS!$H$44,CALENDARIO!$C$69=1),"P",""),IF(ISNUMBER(SEARCH(TEXT(AI$7,"yyyy-mm-dd"),TAREAS!$J$44)),IF(TAREAS!$I$44="Registro Git","R",IF(TAREAS!$I$44="Despliegue documentado","D","L")),""))</f>
        <v/>
      </c>
    </row>
    <row r="17" spans="1:35" ht="72" customHeight="1" x14ac:dyDescent="0.25">
      <c r="A17" s="18" t="str">
        <f>TAREAS!C45</f>
        <v>HU-G10 · Como responsable de área, quiero actualizar equipo, horarios y necesidades.</v>
      </c>
      <c r="B17" s="12" t="str">
        <f>TAREAS!A45&amp;" · "&amp;TAREAS!D45</f>
        <v>T-041 · Revisar y actualizar configuración del área: Reclutamiento</v>
      </c>
      <c r="C17" s="12" t="str">
        <f>TAREAS!F45</f>
        <v>Sistemas + responsable del área</v>
      </c>
      <c r="D17" s="13">
        <f t="shared" si="0"/>
        <v>2</v>
      </c>
      <c r="E17" s="14" t="str">
        <f>IF(TAREAS!$I$45="Propuesta",IF(AND(E$7&gt;=TAREAS!$G$45,E$7&lt;=TAREAS!$H$45,CALENDARIO!$C$39=1),"P",""),IF(ISNUMBER(SEARCH(TEXT(E$7,"yyyy-mm-dd"),TAREAS!$J$45)),IF(TAREAS!$I$45="Registro Git","R",IF(TAREAS!$I$45="Despliegue documentado","D","L")),""))</f>
        <v/>
      </c>
      <c r="F17" s="14" t="str">
        <f>IF(TAREAS!$I$45="Propuesta",IF(AND(F$7&gt;=TAREAS!$G$45,F$7&lt;=TAREAS!$H$45,CALENDARIO!$C$40=1),"P",""),IF(ISNUMBER(SEARCH(TEXT(F$7,"yyyy-mm-dd"),TAREAS!$J$45)),IF(TAREAS!$I$45="Registro Git","R",IF(TAREAS!$I$45="Despliegue documentado","D","L")),""))</f>
        <v/>
      </c>
      <c r="G17" s="15" t="str">
        <f>IF(TAREAS!$I$45="Propuesta",IF(AND(G$7&gt;=TAREAS!$G$45,G$7&lt;=TAREAS!$H$45,CALENDARIO!$C$41=1),"P",""),IF(ISNUMBER(SEARCH(TEXT(G$7,"yyyy-mm-dd"),TAREAS!$J$45)),IF(TAREAS!$I$45="Registro Git","R",IF(TAREAS!$I$45="Despliegue documentado","D","L")),""))</f>
        <v/>
      </c>
      <c r="H17" s="15" t="str">
        <f>IF(TAREAS!$I$45="Propuesta",IF(AND(H$7&gt;=TAREAS!$G$45,H$7&lt;=TAREAS!$H$45,CALENDARIO!$C$42=1),"P",""),IF(ISNUMBER(SEARCH(TEXT(H$7,"yyyy-mm-dd"),TAREAS!$J$45)),IF(TAREAS!$I$45="Registro Git","R",IF(TAREAS!$I$45="Despliegue documentado","D","L")),""))</f>
        <v/>
      </c>
      <c r="I17" s="14" t="str">
        <f>IF(TAREAS!$I$45="Propuesta",IF(AND(I$7&gt;=TAREAS!$G$45,I$7&lt;=TAREAS!$H$45,CALENDARIO!$C$43=1),"P",""),IF(ISNUMBER(SEARCH(TEXT(I$7,"yyyy-mm-dd"),TAREAS!$J$45)),IF(TAREAS!$I$45="Registro Git","R",IF(TAREAS!$I$45="Despliegue documentado","D","L")),""))</f>
        <v/>
      </c>
      <c r="J17" s="14" t="str">
        <f>IF(TAREAS!$I$45="Propuesta",IF(AND(J$7&gt;=TAREAS!$G$45,J$7&lt;=TAREAS!$H$45,CALENDARIO!$C$44=1),"P",""),IF(ISNUMBER(SEARCH(TEXT(J$7,"yyyy-mm-dd"),TAREAS!$J$45)),IF(TAREAS!$I$45="Registro Git","R",IF(TAREAS!$I$45="Despliegue documentado","D","L")),""))</f>
        <v/>
      </c>
      <c r="K17" s="14" t="str">
        <f>IF(TAREAS!$I$45="Propuesta",IF(AND(K$7&gt;=TAREAS!$G$45,K$7&lt;=TAREAS!$H$45,CALENDARIO!$C$45=1),"P",""),IF(ISNUMBER(SEARCH(TEXT(K$7,"yyyy-mm-dd"),TAREAS!$J$45)),IF(TAREAS!$I$45="Registro Git","R",IF(TAREAS!$I$45="Despliegue documentado","D","L")),""))</f>
        <v/>
      </c>
      <c r="L17" s="15" t="str">
        <f>IF(TAREAS!$I$45="Propuesta",IF(AND(L$7&gt;=TAREAS!$G$45,L$7&lt;=TAREAS!$H$45,CALENDARIO!$C$46=1),"P",""),IF(ISNUMBER(SEARCH(TEXT(L$7,"yyyy-mm-dd"),TAREAS!$J$45)),IF(TAREAS!$I$45="Registro Git","R",IF(TAREAS!$I$45="Despliegue documentado","D","L")),""))</f>
        <v/>
      </c>
      <c r="M17" s="14" t="str">
        <f>IF(TAREAS!$I$45="Propuesta",IF(AND(M$7&gt;=TAREAS!$G$45,M$7&lt;=TAREAS!$H$45,CALENDARIO!$C$47=1),"P",""),IF(ISNUMBER(SEARCH(TEXT(M$7,"yyyy-mm-dd"),TAREAS!$J$45)),IF(TAREAS!$I$45="Registro Git","R",IF(TAREAS!$I$45="Despliegue documentado","D","L")),""))</f>
        <v/>
      </c>
      <c r="N17" s="15" t="str">
        <f>IF(TAREAS!$I$45="Propuesta",IF(AND(N$7&gt;=TAREAS!$G$45,N$7&lt;=TAREAS!$H$45,CALENDARIO!$C$48=1),"P",""),IF(ISNUMBER(SEARCH(TEXT(N$7,"yyyy-mm-dd"),TAREAS!$J$45)),IF(TAREAS!$I$45="Registro Git","R",IF(TAREAS!$I$45="Despliegue documentado","D","L")),""))</f>
        <v/>
      </c>
      <c r="O17" s="15" t="str">
        <f>IF(TAREAS!$I$45="Propuesta",IF(AND(O$7&gt;=TAREAS!$G$45,O$7&lt;=TAREAS!$H$45,CALENDARIO!$C$49=1),"P",""),IF(ISNUMBER(SEARCH(TEXT(O$7,"yyyy-mm-dd"),TAREAS!$J$45)),IF(TAREAS!$I$45="Registro Git","R",IF(TAREAS!$I$45="Despliegue documentado","D","L")),""))</f>
        <v/>
      </c>
      <c r="P17" s="14" t="str">
        <f>IF(TAREAS!$I$45="Propuesta",IF(AND(P$7&gt;=TAREAS!$G$45,P$7&lt;=TAREAS!$H$45,CALENDARIO!$C$50=1),"P",""),IF(ISNUMBER(SEARCH(TEXT(P$7,"yyyy-mm-dd"),TAREAS!$J$45)),IF(TAREAS!$I$45="Registro Git","R",IF(TAREAS!$I$45="Despliegue documentado","D","L")),""))</f>
        <v/>
      </c>
      <c r="Q17" s="14" t="str">
        <f>IF(TAREAS!$I$45="Propuesta",IF(AND(Q$7&gt;=TAREAS!$G$45,Q$7&lt;=TAREAS!$H$45,CALENDARIO!$C$51=1),"P",""),IF(ISNUMBER(SEARCH(TEXT(Q$7,"yyyy-mm-dd"),TAREAS!$J$45)),IF(TAREAS!$I$45="Registro Git","R",IF(TAREAS!$I$45="Despliegue documentado","D","L")),""))</f>
        <v/>
      </c>
      <c r="R17" s="14" t="str">
        <f>IF(TAREAS!$I$45="Propuesta",IF(AND(R$7&gt;=TAREAS!$G$45,R$7&lt;=TAREAS!$H$45,CALENDARIO!$C$52=1),"P",""),IF(ISNUMBER(SEARCH(TEXT(R$7,"yyyy-mm-dd"),TAREAS!$J$45)),IF(TAREAS!$I$45="Registro Git","R",IF(TAREAS!$I$45="Despliegue documentado","D","L")),""))</f>
        <v/>
      </c>
      <c r="S17" s="14" t="str">
        <f>IF(TAREAS!$I$45="Propuesta",IF(AND(S$7&gt;=TAREAS!$G$45,S$7&lt;=TAREAS!$H$45,CALENDARIO!$C$53=1),"P",""),IF(ISNUMBER(SEARCH(TEXT(S$7,"yyyy-mm-dd"),TAREAS!$J$45)),IF(TAREAS!$I$45="Registro Git","R",IF(TAREAS!$I$45="Despliegue documentado","D","L")),""))</f>
        <v/>
      </c>
      <c r="T17" s="14" t="str">
        <f>IF(TAREAS!$I$45="Propuesta",IF(AND(T$7&gt;=TAREAS!$G$45,T$7&lt;=TAREAS!$H$45,CALENDARIO!$C$54=1),"P",""),IF(ISNUMBER(SEARCH(TEXT(T$7,"yyyy-mm-dd"),TAREAS!$J$45)),IF(TAREAS!$I$45="Registro Git","R",IF(TAREAS!$I$45="Despliegue documentado","D","L")),""))</f>
        <v/>
      </c>
      <c r="U17" s="15" t="str">
        <f>IF(TAREAS!$I$45="Propuesta",IF(AND(U$7&gt;=TAREAS!$G$45,U$7&lt;=TAREAS!$H$45,CALENDARIO!$C$55=1),"P",""),IF(ISNUMBER(SEARCH(TEXT(U$7,"yyyy-mm-dd"),TAREAS!$J$45)),IF(TAREAS!$I$45="Registro Git","R",IF(TAREAS!$I$45="Despliegue documentado","D","L")),""))</f>
        <v/>
      </c>
      <c r="V17" s="15" t="str">
        <f>IF(TAREAS!$I$45="Propuesta",IF(AND(V$7&gt;=TAREAS!$G$45,V$7&lt;=TAREAS!$H$45,CALENDARIO!$C$56=1),"P",""),IF(ISNUMBER(SEARCH(TEXT(V$7,"yyyy-mm-dd"),TAREAS!$J$45)),IF(TAREAS!$I$45="Registro Git","R",IF(TAREAS!$I$45="Despliegue documentado","D","L")),""))</f>
        <v/>
      </c>
      <c r="W17" s="14" t="str">
        <f>IF(TAREAS!$I$45="Propuesta",IF(AND(W$7&gt;=TAREAS!$G$45,W$7&lt;=TAREAS!$H$45,CALENDARIO!$C$57=1),"P",""),IF(ISNUMBER(SEARCH(TEXT(W$7,"yyyy-mm-dd"),TAREAS!$J$45)),IF(TAREAS!$I$45="Registro Git","R",IF(TAREAS!$I$45="Despliegue documentado","D","L")),""))</f>
        <v/>
      </c>
      <c r="X17" s="14" t="str">
        <f>IF(TAREAS!$I$45="Propuesta",IF(AND(X$7&gt;=TAREAS!$G$45,X$7&lt;=TAREAS!$H$45,CALENDARIO!$C$58=1),"P",""),IF(ISNUMBER(SEARCH(TEXT(X$7,"yyyy-mm-dd"),TAREAS!$J$45)),IF(TAREAS!$I$45="Registro Git","R",IF(TAREAS!$I$45="Despliegue documentado","D","L")),""))</f>
        <v/>
      </c>
      <c r="Y17" s="14" t="str">
        <f>IF(TAREAS!$I$45="Propuesta",IF(AND(Y$7&gt;=TAREAS!$G$45,Y$7&lt;=TAREAS!$H$45,CALENDARIO!$C$59=1),"P",""),IF(ISNUMBER(SEARCH(TEXT(Y$7,"yyyy-mm-dd"),TAREAS!$J$45)),IF(TAREAS!$I$45="Registro Git","R",IF(TAREAS!$I$45="Despliegue documentado","D","L")),""))</f>
        <v/>
      </c>
      <c r="Z17" s="14" t="str">
        <f>IF(TAREAS!$I$45="Propuesta",IF(AND(Z$7&gt;=TAREAS!$G$45,Z$7&lt;=TAREAS!$H$45,CALENDARIO!$C$60=1),"P",""),IF(ISNUMBER(SEARCH(TEXT(Z$7,"yyyy-mm-dd"),TAREAS!$J$45)),IF(TAREAS!$I$45="Registro Git","R",IF(TAREAS!$I$45="Despliegue documentado","D","L")),""))</f>
        <v/>
      </c>
      <c r="AA17" s="14" t="str">
        <f>IF(TAREAS!$I$45="Propuesta",IF(AND(AA$7&gt;=TAREAS!$G$45,AA$7&lt;=TAREAS!$H$45,CALENDARIO!$C$61=1),"P",""),IF(ISNUMBER(SEARCH(TEXT(AA$7,"yyyy-mm-dd"),TAREAS!$J$45)),IF(TAREAS!$I$45="Registro Git","R",IF(TAREAS!$I$45="Despliegue documentado","D","L")),""))</f>
        <v/>
      </c>
      <c r="AB17" s="15" t="str">
        <f>IF(TAREAS!$I$45="Propuesta",IF(AND(AB$7&gt;=TAREAS!$G$45,AB$7&lt;=TAREAS!$H$45,CALENDARIO!$C$62=1),"P",""),IF(ISNUMBER(SEARCH(TEXT(AB$7,"yyyy-mm-dd"),TAREAS!$J$45)),IF(TAREAS!$I$45="Registro Git","R",IF(TAREAS!$I$45="Despliegue documentado","D","L")),""))</f>
        <v/>
      </c>
      <c r="AC17" s="15" t="str">
        <f>IF(TAREAS!$I$45="Propuesta",IF(AND(AC$7&gt;=TAREAS!$G$45,AC$7&lt;=TAREAS!$H$45,CALENDARIO!$C$63=1),"P",""),IF(ISNUMBER(SEARCH(TEXT(AC$7,"yyyy-mm-dd"),TAREAS!$J$45)),IF(TAREAS!$I$45="Registro Git","R",IF(TAREAS!$I$45="Despliegue documentado","D","L")),""))</f>
        <v/>
      </c>
      <c r="AD17" s="14" t="str">
        <f>IF(TAREAS!$I$45="Propuesta",IF(AND(AD$7&gt;=TAREAS!$G$45,AD$7&lt;=TAREAS!$H$45,CALENDARIO!$C$64=1),"P",""),IF(ISNUMBER(SEARCH(TEXT(AD$7,"yyyy-mm-dd"),TAREAS!$J$45)),IF(TAREAS!$I$45="Registro Git","R",IF(TAREAS!$I$45="Despliegue documentado","D","L")),""))</f>
        <v>P</v>
      </c>
      <c r="AE17" s="14" t="str">
        <f>IF(TAREAS!$I$45="Propuesta",IF(AND(AE$7&gt;=TAREAS!$G$45,AE$7&lt;=TAREAS!$H$45,CALENDARIO!$C$65=1),"P",""),IF(ISNUMBER(SEARCH(TEXT(AE$7,"yyyy-mm-dd"),TAREAS!$J$45)),IF(TAREAS!$I$45="Registro Git","R",IF(TAREAS!$I$45="Despliegue documentado","D","L")),""))</f>
        <v>P</v>
      </c>
      <c r="AF17" s="14" t="str">
        <f>IF(TAREAS!$I$45="Propuesta",IF(AND(AF$7&gt;=TAREAS!$G$45,AF$7&lt;=TAREAS!$H$45,CALENDARIO!$C$66=1),"P",""),IF(ISNUMBER(SEARCH(TEXT(AF$7,"yyyy-mm-dd"),TAREAS!$J$45)),IF(TAREAS!$I$45="Registro Git","R",IF(TAREAS!$I$45="Despliegue documentado","D","L")),""))</f>
        <v/>
      </c>
      <c r="AG17" s="14" t="str">
        <f>IF(TAREAS!$I$45="Propuesta",IF(AND(AG$7&gt;=TAREAS!$G$45,AG$7&lt;=TAREAS!$H$45,CALENDARIO!$C$67=1),"P",""),IF(ISNUMBER(SEARCH(TEXT(AG$7,"yyyy-mm-dd"),TAREAS!$J$45)),IF(TAREAS!$I$45="Registro Git","R",IF(TAREAS!$I$45="Despliegue documentado","D","L")),""))</f>
        <v/>
      </c>
      <c r="AH17" s="14" t="str">
        <f>IF(TAREAS!$I$45="Propuesta",IF(AND(AH$7&gt;=TAREAS!$G$45,AH$7&lt;=TAREAS!$H$45,CALENDARIO!$C$68=1),"P",""),IF(ISNUMBER(SEARCH(TEXT(AH$7,"yyyy-mm-dd"),TAREAS!$J$45)),IF(TAREAS!$I$45="Registro Git","R",IF(TAREAS!$I$45="Despliegue documentado","D","L")),""))</f>
        <v/>
      </c>
      <c r="AI17" s="15" t="str">
        <f>IF(TAREAS!$I$45="Propuesta",IF(AND(AI$7&gt;=TAREAS!$G$45,AI$7&lt;=TAREAS!$H$45,CALENDARIO!$C$69=1),"P",""),IF(ISNUMBER(SEARCH(TEXT(AI$7,"yyyy-mm-dd"),TAREAS!$J$45)),IF(TAREAS!$I$45="Registro Git","R",IF(TAREAS!$I$45="Despliegue documentado","D","L")),""))</f>
        <v/>
      </c>
    </row>
    <row r="18" spans="1:35" ht="72" customHeight="1" x14ac:dyDescent="0.25">
      <c r="A18" s="18" t="str">
        <f>TAREAS!C46</f>
        <v>HU-G10 · Como responsable de área, quiero actualizar equipo, horarios y necesidades.</v>
      </c>
      <c r="B18" s="12" t="str">
        <f>TAREAS!A46&amp;" · "&amp;TAREAS!D46</f>
        <v>T-042 · Revisar y actualizar configuración del área: Contabilidad</v>
      </c>
      <c r="C18" s="12" t="str">
        <f>TAREAS!F46</f>
        <v>Sistemas + responsable del área</v>
      </c>
      <c r="D18" s="13">
        <f t="shared" si="0"/>
        <v>2</v>
      </c>
      <c r="E18" s="14" t="str">
        <f>IF(TAREAS!$I$46="Propuesta",IF(AND(E$7&gt;=TAREAS!$G$46,E$7&lt;=TAREAS!$H$46,CALENDARIO!$C$39=1),"P",""),IF(ISNUMBER(SEARCH(TEXT(E$7,"yyyy-mm-dd"),TAREAS!$J$46)),IF(TAREAS!$I$46="Registro Git","R",IF(TAREAS!$I$46="Despliegue documentado","D","L")),""))</f>
        <v/>
      </c>
      <c r="F18" s="14" t="str">
        <f>IF(TAREAS!$I$46="Propuesta",IF(AND(F$7&gt;=TAREAS!$G$46,F$7&lt;=TAREAS!$H$46,CALENDARIO!$C$40=1),"P",""),IF(ISNUMBER(SEARCH(TEXT(F$7,"yyyy-mm-dd"),TAREAS!$J$46)),IF(TAREAS!$I$46="Registro Git","R",IF(TAREAS!$I$46="Despliegue documentado","D","L")),""))</f>
        <v/>
      </c>
      <c r="G18" s="15" t="str">
        <f>IF(TAREAS!$I$46="Propuesta",IF(AND(G$7&gt;=TAREAS!$G$46,G$7&lt;=TAREAS!$H$46,CALENDARIO!$C$41=1),"P",""),IF(ISNUMBER(SEARCH(TEXT(G$7,"yyyy-mm-dd"),TAREAS!$J$46)),IF(TAREAS!$I$46="Registro Git","R",IF(TAREAS!$I$46="Despliegue documentado","D","L")),""))</f>
        <v/>
      </c>
      <c r="H18" s="15" t="str">
        <f>IF(TAREAS!$I$46="Propuesta",IF(AND(H$7&gt;=TAREAS!$G$46,H$7&lt;=TAREAS!$H$46,CALENDARIO!$C$42=1),"P",""),IF(ISNUMBER(SEARCH(TEXT(H$7,"yyyy-mm-dd"),TAREAS!$J$46)),IF(TAREAS!$I$46="Registro Git","R",IF(TAREAS!$I$46="Despliegue documentado","D","L")),""))</f>
        <v/>
      </c>
      <c r="I18" s="14" t="str">
        <f>IF(TAREAS!$I$46="Propuesta",IF(AND(I$7&gt;=TAREAS!$G$46,I$7&lt;=TAREAS!$H$46,CALENDARIO!$C$43=1),"P",""),IF(ISNUMBER(SEARCH(TEXT(I$7,"yyyy-mm-dd"),TAREAS!$J$46)),IF(TAREAS!$I$46="Registro Git","R",IF(TAREAS!$I$46="Despliegue documentado","D","L")),""))</f>
        <v/>
      </c>
      <c r="J18" s="14" t="str">
        <f>IF(TAREAS!$I$46="Propuesta",IF(AND(J$7&gt;=TAREAS!$G$46,J$7&lt;=TAREAS!$H$46,CALENDARIO!$C$44=1),"P",""),IF(ISNUMBER(SEARCH(TEXT(J$7,"yyyy-mm-dd"),TAREAS!$J$46)),IF(TAREAS!$I$46="Registro Git","R",IF(TAREAS!$I$46="Despliegue documentado","D","L")),""))</f>
        <v/>
      </c>
      <c r="K18" s="14" t="str">
        <f>IF(TAREAS!$I$46="Propuesta",IF(AND(K$7&gt;=TAREAS!$G$46,K$7&lt;=TAREAS!$H$46,CALENDARIO!$C$45=1),"P",""),IF(ISNUMBER(SEARCH(TEXT(K$7,"yyyy-mm-dd"),TAREAS!$J$46)),IF(TAREAS!$I$46="Registro Git","R",IF(TAREAS!$I$46="Despliegue documentado","D","L")),""))</f>
        <v/>
      </c>
      <c r="L18" s="15" t="str">
        <f>IF(TAREAS!$I$46="Propuesta",IF(AND(L$7&gt;=TAREAS!$G$46,L$7&lt;=TAREAS!$H$46,CALENDARIO!$C$46=1),"P",""),IF(ISNUMBER(SEARCH(TEXT(L$7,"yyyy-mm-dd"),TAREAS!$J$46)),IF(TAREAS!$I$46="Registro Git","R",IF(TAREAS!$I$46="Despliegue documentado","D","L")),""))</f>
        <v/>
      </c>
      <c r="M18" s="14" t="str">
        <f>IF(TAREAS!$I$46="Propuesta",IF(AND(M$7&gt;=TAREAS!$G$46,M$7&lt;=TAREAS!$H$46,CALENDARIO!$C$47=1),"P",""),IF(ISNUMBER(SEARCH(TEXT(M$7,"yyyy-mm-dd"),TAREAS!$J$46)),IF(TAREAS!$I$46="Registro Git","R",IF(TAREAS!$I$46="Despliegue documentado","D","L")),""))</f>
        <v/>
      </c>
      <c r="N18" s="15" t="str">
        <f>IF(TAREAS!$I$46="Propuesta",IF(AND(N$7&gt;=TAREAS!$G$46,N$7&lt;=TAREAS!$H$46,CALENDARIO!$C$48=1),"P",""),IF(ISNUMBER(SEARCH(TEXT(N$7,"yyyy-mm-dd"),TAREAS!$J$46)),IF(TAREAS!$I$46="Registro Git","R",IF(TAREAS!$I$46="Despliegue documentado","D","L")),""))</f>
        <v/>
      </c>
      <c r="O18" s="15" t="str">
        <f>IF(TAREAS!$I$46="Propuesta",IF(AND(O$7&gt;=TAREAS!$G$46,O$7&lt;=TAREAS!$H$46,CALENDARIO!$C$49=1),"P",""),IF(ISNUMBER(SEARCH(TEXT(O$7,"yyyy-mm-dd"),TAREAS!$J$46)),IF(TAREAS!$I$46="Registro Git","R",IF(TAREAS!$I$46="Despliegue documentado","D","L")),""))</f>
        <v/>
      </c>
      <c r="P18" s="14" t="str">
        <f>IF(TAREAS!$I$46="Propuesta",IF(AND(P$7&gt;=TAREAS!$G$46,P$7&lt;=TAREAS!$H$46,CALENDARIO!$C$50=1),"P",""),IF(ISNUMBER(SEARCH(TEXT(P$7,"yyyy-mm-dd"),TAREAS!$J$46)),IF(TAREAS!$I$46="Registro Git","R",IF(TAREAS!$I$46="Despliegue documentado","D","L")),""))</f>
        <v/>
      </c>
      <c r="Q18" s="14" t="str">
        <f>IF(TAREAS!$I$46="Propuesta",IF(AND(Q$7&gt;=TAREAS!$G$46,Q$7&lt;=TAREAS!$H$46,CALENDARIO!$C$51=1),"P",""),IF(ISNUMBER(SEARCH(TEXT(Q$7,"yyyy-mm-dd"),TAREAS!$J$46)),IF(TAREAS!$I$46="Registro Git","R",IF(TAREAS!$I$46="Despliegue documentado","D","L")),""))</f>
        <v/>
      </c>
      <c r="R18" s="14" t="str">
        <f>IF(TAREAS!$I$46="Propuesta",IF(AND(R$7&gt;=TAREAS!$G$46,R$7&lt;=TAREAS!$H$46,CALENDARIO!$C$52=1),"P",""),IF(ISNUMBER(SEARCH(TEXT(R$7,"yyyy-mm-dd"),TAREAS!$J$46)),IF(TAREAS!$I$46="Registro Git","R",IF(TAREAS!$I$46="Despliegue documentado","D","L")),""))</f>
        <v/>
      </c>
      <c r="S18" s="14" t="str">
        <f>IF(TAREAS!$I$46="Propuesta",IF(AND(S$7&gt;=TAREAS!$G$46,S$7&lt;=TAREAS!$H$46,CALENDARIO!$C$53=1),"P",""),IF(ISNUMBER(SEARCH(TEXT(S$7,"yyyy-mm-dd"),TAREAS!$J$46)),IF(TAREAS!$I$46="Registro Git","R",IF(TAREAS!$I$46="Despliegue documentado","D","L")),""))</f>
        <v/>
      </c>
      <c r="T18" s="14" t="str">
        <f>IF(TAREAS!$I$46="Propuesta",IF(AND(T$7&gt;=TAREAS!$G$46,T$7&lt;=TAREAS!$H$46,CALENDARIO!$C$54=1),"P",""),IF(ISNUMBER(SEARCH(TEXT(T$7,"yyyy-mm-dd"),TAREAS!$J$46)),IF(TAREAS!$I$46="Registro Git","R",IF(TAREAS!$I$46="Despliegue documentado","D","L")),""))</f>
        <v/>
      </c>
      <c r="U18" s="15" t="str">
        <f>IF(TAREAS!$I$46="Propuesta",IF(AND(U$7&gt;=TAREAS!$G$46,U$7&lt;=TAREAS!$H$46,CALENDARIO!$C$55=1),"P",""),IF(ISNUMBER(SEARCH(TEXT(U$7,"yyyy-mm-dd"),TAREAS!$J$46)),IF(TAREAS!$I$46="Registro Git","R",IF(TAREAS!$I$46="Despliegue documentado","D","L")),""))</f>
        <v/>
      </c>
      <c r="V18" s="15" t="str">
        <f>IF(TAREAS!$I$46="Propuesta",IF(AND(V$7&gt;=TAREAS!$G$46,V$7&lt;=TAREAS!$H$46,CALENDARIO!$C$56=1),"P",""),IF(ISNUMBER(SEARCH(TEXT(V$7,"yyyy-mm-dd"),TAREAS!$J$46)),IF(TAREAS!$I$46="Registro Git","R",IF(TAREAS!$I$46="Despliegue documentado","D","L")),""))</f>
        <v/>
      </c>
      <c r="W18" s="14" t="str">
        <f>IF(TAREAS!$I$46="Propuesta",IF(AND(W$7&gt;=TAREAS!$G$46,W$7&lt;=TAREAS!$H$46,CALENDARIO!$C$57=1),"P",""),IF(ISNUMBER(SEARCH(TEXT(W$7,"yyyy-mm-dd"),TAREAS!$J$46)),IF(TAREAS!$I$46="Registro Git","R",IF(TAREAS!$I$46="Despliegue documentado","D","L")),""))</f>
        <v/>
      </c>
      <c r="X18" s="14" t="str">
        <f>IF(TAREAS!$I$46="Propuesta",IF(AND(X$7&gt;=TAREAS!$G$46,X$7&lt;=TAREAS!$H$46,CALENDARIO!$C$58=1),"P",""),IF(ISNUMBER(SEARCH(TEXT(X$7,"yyyy-mm-dd"),TAREAS!$J$46)),IF(TAREAS!$I$46="Registro Git","R",IF(TAREAS!$I$46="Despliegue documentado","D","L")),""))</f>
        <v/>
      </c>
      <c r="Y18" s="14" t="str">
        <f>IF(TAREAS!$I$46="Propuesta",IF(AND(Y$7&gt;=TAREAS!$G$46,Y$7&lt;=TAREAS!$H$46,CALENDARIO!$C$59=1),"P",""),IF(ISNUMBER(SEARCH(TEXT(Y$7,"yyyy-mm-dd"),TAREAS!$J$46)),IF(TAREAS!$I$46="Registro Git","R",IF(TAREAS!$I$46="Despliegue documentado","D","L")),""))</f>
        <v/>
      </c>
      <c r="Z18" s="14" t="str">
        <f>IF(TAREAS!$I$46="Propuesta",IF(AND(Z$7&gt;=TAREAS!$G$46,Z$7&lt;=TAREAS!$H$46,CALENDARIO!$C$60=1),"P",""),IF(ISNUMBER(SEARCH(TEXT(Z$7,"yyyy-mm-dd"),TAREAS!$J$46)),IF(TAREAS!$I$46="Registro Git","R",IF(TAREAS!$I$46="Despliegue documentado","D","L")),""))</f>
        <v/>
      </c>
      <c r="AA18" s="14" t="str">
        <f>IF(TAREAS!$I$46="Propuesta",IF(AND(AA$7&gt;=TAREAS!$G$46,AA$7&lt;=TAREAS!$H$46,CALENDARIO!$C$61=1),"P",""),IF(ISNUMBER(SEARCH(TEXT(AA$7,"yyyy-mm-dd"),TAREAS!$J$46)),IF(TAREAS!$I$46="Registro Git","R",IF(TAREAS!$I$46="Despliegue documentado","D","L")),""))</f>
        <v/>
      </c>
      <c r="AB18" s="15" t="str">
        <f>IF(TAREAS!$I$46="Propuesta",IF(AND(AB$7&gt;=TAREAS!$G$46,AB$7&lt;=TAREAS!$H$46,CALENDARIO!$C$62=1),"P",""),IF(ISNUMBER(SEARCH(TEXT(AB$7,"yyyy-mm-dd"),TAREAS!$J$46)),IF(TAREAS!$I$46="Registro Git","R",IF(TAREAS!$I$46="Despliegue documentado","D","L")),""))</f>
        <v/>
      </c>
      <c r="AC18" s="15" t="str">
        <f>IF(TAREAS!$I$46="Propuesta",IF(AND(AC$7&gt;=TAREAS!$G$46,AC$7&lt;=TAREAS!$H$46,CALENDARIO!$C$63=1),"P",""),IF(ISNUMBER(SEARCH(TEXT(AC$7,"yyyy-mm-dd"),TAREAS!$J$46)),IF(TAREAS!$I$46="Registro Git","R",IF(TAREAS!$I$46="Despliegue documentado","D","L")),""))</f>
        <v/>
      </c>
      <c r="AD18" s="14" t="str">
        <f>IF(TAREAS!$I$46="Propuesta",IF(AND(AD$7&gt;=TAREAS!$G$46,AD$7&lt;=TAREAS!$H$46,CALENDARIO!$C$64=1),"P",""),IF(ISNUMBER(SEARCH(TEXT(AD$7,"yyyy-mm-dd"),TAREAS!$J$46)),IF(TAREAS!$I$46="Registro Git","R",IF(TAREAS!$I$46="Despliegue documentado","D","L")),""))</f>
        <v/>
      </c>
      <c r="AE18" s="14" t="str">
        <f>IF(TAREAS!$I$46="Propuesta",IF(AND(AE$7&gt;=TAREAS!$G$46,AE$7&lt;=TAREAS!$H$46,CALENDARIO!$C$65=1),"P",""),IF(ISNUMBER(SEARCH(TEXT(AE$7,"yyyy-mm-dd"),TAREAS!$J$46)),IF(TAREAS!$I$46="Registro Git","R",IF(TAREAS!$I$46="Despliegue documentado","D","L")),""))</f>
        <v/>
      </c>
      <c r="AF18" s="14" t="str">
        <f>IF(TAREAS!$I$46="Propuesta",IF(AND(AF$7&gt;=TAREAS!$G$46,AF$7&lt;=TAREAS!$H$46,CALENDARIO!$C$66=1),"P",""),IF(ISNUMBER(SEARCH(TEXT(AF$7,"yyyy-mm-dd"),TAREAS!$J$46)),IF(TAREAS!$I$46="Registro Git","R",IF(TAREAS!$I$46="Despliegue documentado","D","L")),""))</f>
        <v>P</v>
      </c>
      <c r="AG18" s="14" t="str">
        <f>IF(TAREAS!$I$46="Propuesta",IF(AND(AG$7&gt;=TAREAS!$G$46,AG$7&lt;=TAREAS!$H$46,CALENDARIO!$C$67=1),"P",""),IF(ISNUMBER(SEARCH(TEXT(AG$7,"yyyy-mm-dd"),TAREAS!$J$46)),IF(TAREAS!$I$46="Registro Git","R",IF(TAREAS!$I$46="Despliegue documentado","D","L")),""))</f>
        <v>P</v>
      </c>
      <c r="AH18" s="14" t="str">
        <f>IF(TAREAS!$I$46="Propuesta",IF(AND(AH$7&gt;=TAREAS!$G$46,AH$7&lt;=TAREAS!$H$46,CALENDARIO!$C$68=1),"P",""),IF(ISNUMBER(SEARCH(TEXT(AH$7,"yyyy-mm-dd"),TAREAS!$J$46)),IF(TAREAS!$I$46="Registro Git","R",IF(TAREAS!$I$46="Despliegue documentado","D","L")),""))</f>
        <v/>
      </c>
      <c r="AI18" s="15" t="str">
        <f>IF(TAREAS!$I$46="Propuesta",IF(AND(AI$7&gt;=TAREAS!$G$46,AI$7&lt;=TAREAS!$H$46,CALENDARIO!$C$69=1),"P",""),IF(ISNUMBER(SEARCH(TEXT(AI$7,"yyyy-mm-dd"),TAREAS!$J$46)),IF(TAREAS!$I$46="Registro Git","R",IF(TAREAS!$I$46="Despliegue documentado","D","L")),""))</f>
        <v/>
      </c>
    </row>
    <row r="19" spans="1:35" ht="72" customHeight="1" x14ac:dyDescent="0.25">
      <c r="A19" s="16" t="str">
        <f>TAREAS!C47</f>
        <v>HU-G09 · Como equipo, queremos requisitos y planificación trazables.</v>
      </c>
      <c r="B19" s="12" t="str">
        <f>TAREAS!A47&amp;" · "&amp;TAREAS!D47</f>
        <v>T-043 · Revisión y retrospectiva del Sprint 2; priorizar mejoras</v>
      </c>
      <c r="C19" s="12" t="str">
        <f>TAREAS!F47</f>
        <v>Dirección + responsables</v>
      </c>
      <c r="D19" s="13">
        <f t="shared" si="0"/>
        <v>1</v>
      </c>
      <c r="E19" s="14" t="str">
        <f>IF(TAREAS!$I$47="Propuesta",IF(AND(E$7&gt;=TAREAS!$G$47,E$7&lt;=TAREAS!$H$47,CALENDARIO!$C$39=1),"P",""),IF(ISNUMBER(SEARCH(TEXT(E$7,"yyyy-mm-dd"),TAREAS!$J$47)),IF(TAREAS!$I$47="Registro Git","R",IF(TAREAS!$I$47="Despliegue documentado","D","L")),""))</f>
        <v/>
      </c>
      <c r="F19" s="14" t="str">
        <f>IF(TAREAS!$I$47="Propuesta",IF(AND(F$7&gt;=TAREAS!$G$47,F$7&lt;=TAREAS!$H$47,CALENDARIO!$C$40=1),"P",""),IF(ISNUMBER(SEARCH(TEXT(F$7,"yyyy-mm-dd"),TAREAS!$J$47)),IF(TAREAS!$I$47="Registro Git","R",IF(TAREAS!$I$47="Despliegue documentado","D","L")),""))</f>
        <v/>
      </c>
      <c r="G19" s="15" t="str">
        <f>IF(TAREAS!$I$47="Propuesta",IF(AND(G$7&gt;=TAREAS!$G$47,G$7&lt;=TAREAS!$H$47,CALENDARIO!$C$41=1),"P",""),IF(ISNUMBER(SEARCH(TEXT(G$7,"yyyy-mm-dd"),TAREAS!$J$47)),IF(TAREAS!$I$47="Registro Git","R",IF(TAREAS!$I$47="Despliegue documentado","D","L")),""))</f>
        <v/>
      </c>
      <c r="H19" s="15" t="str">
        <f>IF(TAREAS!$I$47="Propuesta",IF(AND(H$7&gt;=TAREAS!$G$47,H$7&lt;=TAREAS!$H$47,CALENDARIO!$C$42=1),"P",""),IF(ISNUMBER(SEARCH(TEXT(H$7,"yyyy-mm-dd"),TAREAS!$J$47)),IF(TAREAS!$I$47="Registro Git","R",IF(TAREAS!$I$47="Despliegue documentado","D","L")),""))</f>
        <v/>
      </c>
      <c r="I19" s="14" t="str">
        <f>IF(TAREAS!$I$47="Propuesta",IF(AND(I$7&gt;=TAREAS!$G$47,I$7&lt;=TAREAS!$H$47,CALENDARIO!$C$43=1),"P",""),IF(ISNUMBER(SEARCH(TEXT(I$7,"yyyy-mm-dd"),TAREAS!$J$47)),IF(TAREAS!$I$47="Registro Git","R",IF(TAREAS!$I$47="Despliegue documentado","D","L")),""))</f>
        <v/>
      </c>
      <c r="J19" s="14" t="str">
        <f>IF(TAREAS!$I$47="Propuesta",IF(AND(J$7&gt;=TAREAS!$G$47,J$7&lt;=TAREAS!$H$47,CALENDARIO!$C$44=1),"P",""),IF(ISNUMBER(SEARCH(TEXT(J$7,"yyyy-mm-dd"),TAREAS!$J$47)),IF(TAREAS!$I$47="Registro Git","R",IF(TAREAS!$I$47="Despliegue documentado","D","L")),""))</f>
        <v/>
      </c>
      <c r="K19" s="14" t="str">
        <f>IF(TAREAS!$I$47="Propuesta",IF(AND(K$7&gt;=TAREAS!$G$47,K$7&lt;=TAREAS!$H$47,CALENDARIO!$C$45=1),"P",""),IF(ISNUMBER(SEARCH(TEXT(K$7,"yyyy-mm-dd"),TAREAS!$J$47)),IF(TAREAS!$I$47="Registro Git","R",IF(TAREAS!$I$47="Despliegue documentado","D","L")),""))</f>
        <v/>
      </c>
      <c r="L19" s="15" t="str">
        <f>IF(TAREAS!$I$47="Propuesta",IF(AND(L$7&gt;=TAREAS!$G$47,L$7&lt;=TAREAS!$H$47,CALENDARIO!$C$46=1),"P",""),IF(ISNUMBER(SEARCH(TEXT(L$7,"yyyy-mm-dd"),TAREAS!$J$47)),IF(TAREAS!$I$47="Registro Git","R",IF(TAREAS!$I$47="Despliegue documentado","D","L")),""))</f>
        <v/>
      </c>
      <c r="M19" s="14" t="str">
        <f>IF(TAREAS!$I$47="Propuesta",IF(AND(M$7&gt;=TAREAS!$G$47,M$7&lt;=TAREAS!$H$47,CALENDARIO!$C$47=1),"P",""),IF(ISNUMBER(SEARCH(TEXT(M$7,"yyyy-mm-dd"),TAREAS!$J$47)),IF(TAREAS!$I$47="Registro Git","R",IF(TAREAS!$I$47="Despliegue documentado","D","L")),""))</f>
        <v/>
      </c>
      <c r="N19" s="15" t="str">
        <f>IF(TAREAS!$I$47="Propuesta",IF(AND(N$7&gt;=TAREAS!$G$47,N$7&lt;=TAREAS!$H$47,CALENDARIO!$C$48=1),"P",""),IF(ISNUMBER(SEARCH(TEXT(N$7,"yyyy-mm-dd"),TAREAS!$J$47)),IF(TAREAS!$I$47="Registro Git","R",IF(TAREAS!$I$47="Despliegue documentado","D","L")),""))</f>
        <v/>
      </c>
      <c r="O19" s="15" t="str">
        <f>IF(TAREAS!$I$47="Propuesta",IF(AND(O$7&gt;=TAREAS!$G$47,O$7&lt;=TAREAS!$H$47,CALENDARIO!$C$49=1),"P",""),IF(ISNUMBER(SEARCH(TEXT(O$7,"yyyy-mm-dd"),TAREAS!$J$47)),IF(TAREAS!$I$47="Registro Git","R",IF(TAREAS!$I$47="Despliegue documentado","D","L")),""))</f>
        <v/>
      </c>
      <c r="P19" s="14" t="str">
        <f>IF(TAREAS!$I$47="Propuesta",IF(AND(P$7&gt;=TAREAS!$G$47,P$7&lt;=TAREAS!$H$47,CALENDARIO!$C$50=1),"P",""),IF(ISNUMBER(SEARCH(TEXT(P$7,"yyyy-mm-dd"),TAREAS!$J$47)),IF(TAREAS!$I$47="Registro Git","R",IF(TAREAS!$I$47="Despliegue documentado","D","L")),""))</f>
        <v/>
      </c>
      <c r="Q19" s="14" t="str">
        <f>IF(TAREAS!$I$47="Propuesta",IF(AND(Q$7&gt;=TAREAS!$G$47,Q$7&lt;=TAREAS!$H$47,CALENDARIO!$C$51=1),"P",""),IF(ISNUMBER(SEARCH(TEXT(Q$7,"yyyy-mm-dd"),TAREAS!$J$47)),IF(TAREAS!$I$47="Registro Git","R",IF(TAREAS!$I$47="Despliegue documentado","D","L")),""))</f>
        <v/>
      </c>
      <c r="R19" s="14" t="str">
        <f>IF(TAREAS!$I$47="Propuesta",IF(AND(R$7&gt;=TAREAS!$G$47,R$7&lt;=TAREAS!$H$47,CALENDARIO!$C$52=1),"P",""),IF(ISNUMBER(SEARCH(TEXT(R$7,"yyyy-mm-dd"),TAREAS!$J$47)),IF(TAREAS!$I$47="Registro Git","R",IF(TAREAS!$I$47="Despliegue documentado","D","L")),""))</f>
        <v/>
      </c>
      <c r="S19" s="14" t="str">
        <f>IF(TAREAS!$I$47="Propuesta",IF(AND(S$7&gt;=TAREAS!$G$47,S$7&lt;=TAREAS!$H$47,CALENDARIO!$C$53=1),"P",""),IF(ISNUMBER(SEARCH(TEXT(S$7,"yyyy-mm-dd"),TAREAS!$J$47)),IF(TAREAS!$I$47="Registro Git","R",IF(TAREAS!$I$47="Despliegue documentado","D","L")),""))</f>
        <v/>
      </c>
      <c r="T19" s="14" t="str">
        <f>IF(TAREAS!$I$47="Propuesta",IF(AND(T$7&gt;=TAREAS!$G$47,T$7&lt;=TAREAS!$H$47,CALENDARIO!$C$54=1),"P",""),IF(ISNUMBER(SEARCH(TEXT(T$7,"yyyy-mm-dd"),TAREAS!$J$47)),IF(TAREAS!$I$47="Registro Git","R",IF(TAREAS!$I$47="Despliegue documentado","D","L")),""))</f>
        <v/>
      </c>
      <c r="U19" s="15" t="str">
        <f>IF(TAREAS!$I$47="Propuesta",IF(AND(U$7&gt;=TAREAS!$G$47,U$7&lt;=TAREAS!$H$47,CALENDARIO!$C$55=1),"P",""),IF(ISNUMBER(SEARCH(TEXT(U$7,"yyyy-mm-dd"),TAREAS!$J$47)),IF(TAREAS!$I$47="Registro Git","R",IF(TAREAS!$I$47="Despliegue documentado","D","L")),""))</f>
        <v/>
      </c>
      <c r="V19" s="15" t="str">
        <f>IF(TAREAS!$I$47="Propuesta",IF(AND(V$7&gt;=TAREAS!$G$47,V$7&lt;=TAREAS!$H$47,CALENDARIO!$C$56=1),"P",""),IF(ISNUMBER(SEARCH(TEXT(V$7,"yyyy-mm-dd"),TAREAS!$J$47)),IF(TAREAS!$I$47="Registro Git","R",IF(TAREAS!$I$47="Despliegue documentado","D","L")),""))</f>
        <v/>
      </c>
      <c r="W19" s="14" t="str">
        <f>IF(TAREAS!$I$47="Propuesta",IF(AND(W$7&gt;=TAREAS!$G$47,W$7&lt;=TAREAS!$H$47,CALENDARIO!$C$57=1),"P",""),IF(ISNUMBER(SEARCH(TEXT(W$7,"yyyy-mm-dd"),TAREAS!$J$47)),IF(TAREAS!$I$47="Registro Git","R",IF(TAREAS!$I$47="Despliegue documentado","D","L")),""))</f>
        <v/>
      </c>
      <c r="X19" s="14" t="str">
        <f>IF(TAREAS!$I$47="Propuesta",IF(AND(X$7&gt;=TAREAS!$G$47,X$7&lt;=TAREAS!$H$47,CALENDARIO!$C$58=1),"P",""),IF(ISNUMBER(SEARCH(TEXT(X$7,"yyyy-mm-dd"),TAREAS!$J$47)),IF(TAREAS!$I$47="Registro Git","R",IF(TAREAS!$I$47="Despliegue documentado","D","L")),""))</f>
        <v/>
      </c>
      <c r="Y19" s="14" t="str">
        <f>IF(TAREAS!$I$47="Propuesta",IF(AND(Y$7&gt;=TAREAS!$G$47,Y$7&lt;=TAREAS!$H$47,CALENDARIO!$C$59=1),"P",""),IF(ISNUMBER(SEARCH(TEXT(Y$7,"yyyy-mm-dd"),TAREAS!$J$47)),IF(TAREAS!$I$47="Registro Git","R",IF(TAREAS!$I$47="Despliegue documentado","D","L")),""))</f>
        <v/>
      </c>
      <c r="Z19" s="14" t="str">
        <f>IF(TAREAS!$I$47="Propuesta",IF(AND(Z$7&gt;=TAREAS!$G$47,Z$7&lt;=TAREAS!$H$47,CALENDARIO!$C$60=1),"P",""),IF(ISNUMBER(SEARCH(TEXT(Z$7,"yyyy-mm-dd"),TAREAS!$J$47)),IF(TAREAS!$I$47="Registro Git","R",IF(TAREAS!$I$47="Despliegue documentado","D","L")),""))</f>
        <v/>
      </c>
      <c r="AA19" s="14" t="str">
        <f>IF(TAREAS!$I$47="Propuesta",IF(AND(AA$7&gt;=TAREAS!$G$47,AA$7&lt;=TAREAS!$H$47,CALENDARIO!$C$61=1),"P",""),IF(ISNUMBER(SEARCH(TEXT(AA$7,"yyyy-mm-dd"),TAREAS!$J$47)),IF(TAREAS!$I$47="Registro Git","R",IF(TAREAS!$I$47="Despliegue documentado","D","L")),""))</f>
        <v/>
      </c>
      <c r="AB19" s="15" t="str">
        <f>IF(TAREAS!$I$47="Propuesta",IF(AND(AB$7&gt;=TAREAS!$G$47,AB$7&lt;=TAREAS!$H$47,CALENDARIO!$C$62=1),"P",""),IF(ISNUMBER(SEARCH(TEXT(AB$7,"yyyy-mm-dd"),TAREAS!$J$47)),IF(TAREAS!$I$47="Registro Git","R",IF(TAREAS!$I$47="Despliegue documentado","D","L")),""))</f>
        <v/>
      </c>
      <c r="AC19" s="15" t="str">
        <f>IF(TAREAS!$I$47="Propuesta",IF(AND(AC$7&gt;=TAREAS!$G$47,AC$7&lt;=TAREAS!$H$47,CALENDARIO!$C$63=1),"P",""),IF(ISNUMBER(SEARCH(TEXT(AC$7,"yyyy-mm-dd"),TAREAS!$J$47)),IF(TAREAS!$I$47="Registro Git","R",IF(TAREAS!$I$47="Despliegue documentado","D","L")),""))</f>
        <v/>
      </c>
      <c r="AD19" s="14" t="str">
        <f>IF(TAREAS!$I$47="Propuesta",IF(AND(AD$7&gt;=TAREAS!$G$47,AD$7&lt;=TAREAS!$H$47,CALENDARIO!$C$64=1),"P",""),IF(ISNUMBER(SEARCH(TEXT(AD$7,"yyyy-mm-dd"),TAREAS!$J$47)),IF(TAREAS!$I$47="Registro Git","R",IF(TAREAS!$I$47="Despliegue documentado","D","L")),""))</f>
        <v/>
      </c>
      <c r="AE19" s="14" t="str">
        <f>IF(TAREAS!$I$47="Propuesta",IF(AND(AE$7&gt;=TAREAS!$G$47,AE$7&lt;=TAREAS!$H$47,CALENDARIO!$C$65=1),"P",""),IF(ISNUMBER(SEARCH(TEXT(AE$7,"yyyy-mm-dd"),TAREAS!$J$47)),IF(TAREAS!$I$47="Registro Git","R",IF(TAREAS!$I$47="Despliegue documentado","D","L")),""))</f>
        <v/>
      </c>
      <c r="AF19" s="14" t="str">
        <f>IF(TAREAS!$I$47="Propuesta",IF(AND(AF$7&gt;=TAREAS!$G$47,AF$7&lt;=TAREAS!$H$47,CALENDARIO!$C$66=1),"P",""),IF(ISNUMBER(SEARCH(TEXT(AF$7,"yyyy-mm-dd"),TAREAS!$J$47)),IF(TAREAS!$I$47="Registro Git","R",IF(TAREAS!$I$47="Despliegue documentado","D","L")),""))</f>
        <v/>
      </c>
      <c r="AG19" s="14" t="str">
        <f>IF(TAREAS!$I$47="Propuesta",IF(AND(AG$7&gt;=TAREAS!$G$47,AG$7&lt;=TAREAS!$H$47,CALENDARIO!$C$67=1),"P",""),IF(ISNUMBER(SEARCH(TEXT(AG$7,"yyyy-mm-dd"),TAREAS!$J$47)),IF(TAREAS!$I$47="Registro Git","R",IF(TAREAS!$I$47="Despliegue documentado","D","L")),""))</f>
        <v/>
      </c>
      <c r="AH19" s="14" t="str">
        <f>IF(TAREAS!$I$47="Propuesta",IF(AND(AH$7&gt;=TAREAS!$G$47,AH$7&lt;=TAREAS!$H$47,CALENDARIO!$C$68=1),"P",""),IF(ISNUMBER(SEARCH(TEXT(AH$7,"yyyy-mm-dd"),TAREAS!$J$47)),IF(TAREAS!$I$47="Registro Git","R",IF(TAREAS!$I$47="Despliegue documentado","D","L")),""))</f>
        <v>P</v>
      </c>
      <c r="AI19" s="15" t="str">
        <f>IF(TAREAS!$I$47="Propuesta",IF(AND(AI$7&gt;=TAREAS!$G$47,AI$7&lt;=TAREAS!$H$47,CALENDARIO!$C$69=1),"P",""),IF(ISNUMBER(SEARCH(TEXT(AI$7,"yyyy-mm-dd"),TAREAS!$J$47)),IF(TAREAS!$I$47="Registro Git","R",IF(TAREAS!$I$47="Despliegue documentado","D","L")),""))</f>
        <v/>
      </c>
    </row>
  </sheetData>
  <mergeCells count="8">
    <mergeCell ref="A5:AI5"/>
    <mergeCell ref="A1:AI2"/>
    <mergeCell ref="C7:C8"/>
    <mergeCell ref="A7:A8"/>
    <mergeCell ref="A3:AI3"/>
    <mergeCell ref="B7:B8"/>
    <mergeCell ref="D7:D8"/>
    <mergeCell ref="A4:AI4"/>
  </mergeCells>
  <conditionalFormatting sqref="E9:AI18">
    <cfRule type="expression" dxfId="12" priority="1">
      <formula>E9&lt;&gt;""</formula>
    </cfRule>
  </conditionalFormatting>
  <conditionalFormatting sqref="E19:AI19">
    <cfRule type="expression" dxfId="11" priority="11">
      <formula>E19&lt;&gt;""</formula>
    </cfRule>
  </conditionalFormatting>
  <printOptions horizontalCentered="1"/>
  <pageMargins left="0.22" right="0.22" top="0.35" bottom="0.35" header="0.5" footer="0.5"/>
  <pageSetup paperSize="8" fitToHeight="0" orientation="landscape"/>
  <headerFooter>
    <oddFooter>&amp;C&amp;8 KJA · Planificación al 22/09/2026 · 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8CC"/>
    <pageSetUpPr fitToPage="1"/>
  </sheetPr>
  <dimension ref="A1:AH16"/>
  <sheetViews>
    <sheetView showGridLines="0" zoomScale="70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9" customWidth="1"/>
    <col min="2" max="2" width="59" customWidth="1"/>
    <col min="3" max="3" width="28" customWidth="1"/>
    <col min="4" max="4" width="11" customWidth="1"/>
    <col min="5" max="34" width="6" customWidth="1"/>
  </cols>
  <sheetData>
    <row r="1" spans="1:34" ht="24" customHeight="1" x14ac:dyDescent="0.25">
      <c r="A1" s="26" t="s">
        <v>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 spans="1:34" ht="15.9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4" ht="23.1" customHeight="1" x14ac:dyDescent="0.25">
      <c r="A3" s="27" t="s">
        <v>68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4" ht="23.1" customHeight="1" x14ac:dyDescent="0.25">
      <c r="A4" s="27" t="s">
        <v>50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spans="1:34" ht="21.95" customHeight="1" x14ac:dyDescent="0.25">
      <c r="A5" s="27" t="s">
        <v>51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7" spans="1:34" ht="26.1" customHeight="1" x14ac:dyDescent="0.25">
      <c r="A7" s="28" t="s">
        <v>52</v>
      </c>
      <c r="B7" s="28" t="s">
        <v>53</v>
      </c>
      <c r="C7" s="28" t="s">
        <v>54</v>
      </c>
      <c r="D7" s="28" t="s">
        <v>55</v>
      </c>
      <c r="E7" s="8">
        <v>46327</v>
      </c>
      <c r="F7" s="7">
        <v>46328</v>
      </c>
      <c r="G7" s="7">
        <v>46329</v>
      </c>
      <c r="H7" s="7">
        <v>46330</v>
      </c>
      <c r="I7" s="7">
        <v>46331</v>
      </c>
      <c r="J7" s="7">
        <v>46332</v>
      </c>
      <c r="K7" s="8">
        <v>46333</v>
      </c>
      <c r="L7" s="8">
        <v>46334</v>
      </c>
      <c r="M7" s="7">
        <v>46335</v>
      </c>
      <c r="N7" s="7">
        <v>46336</v>
      </c>
      <c r="O7" s="7">
        <v>46337</v>
      </c>
      <c r="P7" s="7">
        <v>46338</v>
      </c>
      <c r="Q7" s="7">
        <v>46339</v>
      </c>
      <c r="R7" s="8">
        <v>46340</v>
      </c>
      <c r="S7" s="8">
        <v>46341</v>
      </c>
      <c r="T7" s="7">
        <v>46342</v>
      </c>
      <c r="U7" s="7">
        <v>46343</v>
      </c>
      <c r="V7" s="7">
        <v>46344</v>
      </c>
      <c r="W7" s="7">
        <v>46345</v>
      </c>
      <c r="X7" s="7">
        <v>46346</v>
      </c>
      <c r="Y7" s="8">
        <v>46347</v>
      </c>
      <c r="Z7" s="8">
        <v>46348</v>
      </c>
      <c r="AA7" s="7">
        <v>46349</v>
      </c>
      <c r="AB7" s="7">
        <v>46350</v>
      </c>
      <c r="AC7" s="7">
        <v>46351</v>
      </c>
      <c r="AD7" s="7">
        <v>46352</v>
      </c>
      <c r="AE7" s="7">
        <v>46353</v>
      </c>
      <c r="AF7" s="8">
        <v>46354</v>
      </c>
      <c r="AG7" s="8">
        <v>46355</v>
      </c>
      <c r="AH7" s="7">
        <v>46356</v>
      </c>
    </row>
    <row r="8" spans="1:34" ht="18.95" customHeight="1" x14ac:dyDescent="0.25">
      <c r="A8" s="27"/>
      <c r="B8" s="27"/>
      <c r="C8" s="27"/>
      <c r="D8" s="27"/>
      <c r="E8" s="10" t="s">
        <v>58</v>
      </c>
      <c r="F8" s="9" t="s">
        <v>59</v>
      </c>
      <c r="G8" s="9" t="s">
        <v>62</v>
      </c>
      <c r="H8" s="9" t="s">
        <v>63</v>
      </c>
      <c r="I8" s="9" t="s">
        <v>64</v>
      </c>
      <c r="J8" s="9" t="s">
        <v>56</v>
      </c>
      <c r="K8" s="10" t="s">
        <v>57</v>
      </c>
      <c r="L8" s="10" t="s">
        <v>58</v>
      </c>
      <c r="M8" s="9" t="s">
        <v>59</v>
      </c>
      <c r="N8" s="9" t="s">
        <v>62</v>
      </c>
      <c r="O8" s="9" t="s">
        <v>63</v>
      </c>
      <c r="P8" s="9" t="s">
        <v>64</v>
      </c>
      <c r="Q8" s="9" t="s">
        <v>56</v>
      </c>
      <c r="R8" s="10" t="s">
        <v>57</v>
      </c>
      <c r="S8" s="10" t="s">
        <v>58</v>
      </c>
      <c r="T8" s="9" t="s">
        <v>59</v>
      </c>
      <c r="U8" s="9" t="s">
        <v>62</v>
      </c>
      <c r="V8" s="9" t="s">
        <v>63</v>
      </c>
      <c r="W8" s="9" t="s">
        <v>64</v>
      </c>
      <c r="X8" s="9" t="s">
        <v>56</v>
      </c>
      <c r="Y8" s="10" t="s">
        <v>57</v>
      </c>
      <c r="Z8" s="10" t="s">
        <v>58</v>
      </c>
      <c r="AA8" s="9" t="s">
        <v>59</v>
      </c>
      <c r="AB8" s="9" t="s">
        <v>62</v>
      </c>
      <c r="AC8" s="9" t="s">
        <v>63</v>
      </c>
      <c r="AD8" s="9" t="s">
        <v>64</v>
      </c>
      <c r="AE8" s="9" t="s">
        <v>56</v>
      </c>
      <c r="AF8" s="10" t="s">
        <v>57</v>
      </c>
      <c r="AG8" s="10" t="s">
        <v>58</v>
      </c>
      <c r="AH8" s="9" t="s">
        <v>59</v>
      </c>
    </row>
    <row r="9" spans="1:34" ht="72" customHeight="1" x14ac:dyDescent="0.25">
      <c r="A9" s="19" t="str">
        <f>TAREAS!C48</f>
        <v>HU-G11 · Como usuario, quiero mejoras de calidad y flujos confiables.</v>
      </c>
      <c r="B9" s="12" t="str">
        <f>TAREAS!A48&amp;" · "&amp;TAREAS!D48</f>
        <v>T-044 · Auditar permisos, sesiones y aislamiento por rol</v>
      </c>
      <c r="C9" s="12" t="str">
        <f>TAREAS!F48</f>
        <v>Sistemas + QA</v>
      </c>
      <c r="D9" s="13">
        <f t="shared" ref="D9:D16" si="0">COUNTIF(E9:AH9,"R")+COUNTIF(E9:AH9,"D")+COUNTIF(E9:AH9,"L")+COUNTIF(E9:AH9,"P")</f>
        <v>3</v>
      </c>
      <c r="E9" s="15" t="str">
        <f>IF(TAREAS!$I$48="Propuesta",IF(AND(E$7&gt;=TAREAS!$G$48,E$7&lt;=TAREAS!$H$48,CALENDARIO!$C$70=1),"P",""),IF(ISNUMBER(SEARCH(TEXT(E$7,"yyyy-mm-dd"),TAREAS!$J$48)),IF(TAREAS!$I$48="Registro Git","R",IF(TAREAS!$I$48="Despliegue documentado","D","L")),""))</f>
        <v/>
      </c>
      <c r="F9" s="14" t="str">
        <f>IF(TAREAS!$I$48="Propuesta",IF(AND(F$7&gt;=TAREAS!$G$48,F$7&lt;=TAREAS!$H$48,CALENDARIO!$C$71=1),"P",""),IF(ISNUMBER(SEARCH(TEXT(F$7,"yyyy-mm-dd"),TAREAS!$J$48)),IF(TAREAS!$I$48="Registro Git","R",IF(TAREAS!$I$48="Despliegue documentado","D","L")),""))</f>
        <v>P</v>
      </c>
      <c r="G9" s="14" t="str">
        <f>IF(TAREAS!$I$48="Propuesta",IF(AND(G$7&gt;=TAREAS!$G$48,G$7&lt;=TAREAS!$H$48,CALENDARIO!$C$72=1),"P",""),IF(ISNUMBER(SEARCH(TEXT(G$7,"yyyy-mm-dd"),TAREAS!$J$48)),IF(TAREAS!$I$48="Registro Git","R",IF(TAREAS!$I$48="Despliegue documentado","D","L")),""))</f>
        <v>P</v>
      </c>
      <c r="H9" s="14" t="str">
        <f>IF(TAREAS!$I$48="Propuesta",IF(AND(H$7&gt;=TAREAS!$G$48,H$7&lt;=TAREAS!$H$48,CALENDARIO!$C$73=1),"P",""),IF(ISNUMBER(SEARCH(TEXT(H$7,"yyyy-mm-dd"),TAREAS!$J$48)),IF(TAREAS!$I$48="Registro Git","R",IF(TAREAS!$I$48="Despliegue documentado","D","L")),""))</f>
        <v>P</v>
      </c>
      <c r="I9" s="14" t="str">
        <f>IF(TAREAS!$I$48="Propuesta",IF(AND(I$7&gt;=TAREAS!$G$48,I$7&lt;=TAREAS!$H$48,CALENDARIO!$C$74=1),"P",""),IF(ISNUMBER(SEARCH(TEXT(I$7,"yyyy-mm-dd"),TAREAS!$J$48)),IF(TAREAS!$I$48="Registro Git","R",IF(TAREAS!$I$48="Despliegue documentado","D","L")),""))</f>
        <v/>
      </c>
      <c r="J9" s="14" t="str">
        <f>IF(TAREAS!$I$48="Propuesta",IF(AND(J$7&gt;=TAREAS!$G$48,J$7&lt;=TAREAS!$H$48,CALENDARIO!$C$75=1),"P",""),IF(ISNUMBER(SEARCH(TEXT(J$7,"yyyy-mm-dd"),TAREAS!$J$48)),IF(TAREAS!$I$48="Registro Git","R",IF(TAREAS!$I$48="Despliegue documentado","D","L")),""))</f>
        <v/>
      </c>
      <c r="K9" s="15" t="str">
        <f>IF(TAREAS!$I$48="Propuesta",IF(AND(K$7&gt;=TAREAS!$G$48,K$7&lt;=TAREAS!$H$48,CALENDARIO!$C$76=1),"P",""),IF(ISNUMBER(SEARCH(TEXT(K$7,"yyyy-mm-dd"),TAREAS!$J$48)),IF(TAREAS!$I$48="Registro Git","R",IF(TAREAS!$I$48="Despliegue documentado","D","L")),""))</f>
        <v/>
      </c>
      <c r="L9" s="15" t="str">
        <f>IF(TAREAS!$I$48="Propuesta",IF(AND(L$7&gt;=TAREAS!$G$48,L$7&lt;=TAREAS!$H$48,CALENDARIO!$C$77=1),"P",""),IF(ISNUMBER(SEARCH(TEXT(L$7,"yyyy-mm-dd"),TAREAS!$J$48)),IF(TAREAS!$I$48="Registro Git","R",IF(TAREAS!$I$48="Despliegue documentado","D","L")),""))</f>
        <v/>
      </c>
      <c r="M9" s="14" t="str">
        <f>IF(TAREAS!$I$48="Propuesta",IF(AND(M$7&gt;=TAREAS!$G$48,M$7&lt;=TAREAS!$H$48,CALENDARIO!$C$78=1),"P",""),IF(ISNUMBER(SEARCH(TEXT(M$7,"yyyy-mm-dd"),TAREAS!$J$48)),IF(TAREAS!$I$48="Registro Git","R",IF(TAREAS!$I$48="Despliegue documentado","D","L")),""))</f>
        <v/>
      </c>
      <c r="N9" s="14" t="str">
        <f>IF(TAREAS!$I$48="Propuesta",IF(AND(N$7&gt;=TAREAS!$G$48,N$7&lt;=TAREAS!$H$48,CALENDARIO!$C$79=1),"P",""),IF(ISNUMBER(SEARCH(TEXT(N$7,"yyyy-mm-dd"),TAREAS!$J$48)),IF(TAREAS!$I$48="Registro Git","R",IF(TAREAS!$I$48="Despliegue documentado","D","L")),""))</f>
        <v/>
      </c>
      <c r="O9" s="14" t="str">
        <f>IF(TAREAS!$I$48="Propuesta",IF(AND(O$7&gt;=TAREAS!$G$48,O$7&lt;=TAREAS!$H$48,CALENDARIO!$C$80=1),"P",""),IF(ISNUMBER(SEARCH(TEXT(O$7,"yyyy-mm-dd"),TAREAS!$J$48)),IF(TAREAS!$I$48="Registro Git","R",IF(TAREAS!$I$48="Despliegue documentado","D","L")),""))</f>
        <v/>
      </c>
      <c r="P9" s="14" t="str">
        <f>IF(TAREAS!$I$48="Propuesta",IF(AND(P$7&gt;=TAREAS!$G$48,P$7&lt;=TAREAS!$H$48,CALENDARIO!$C$81=1),"P",""),IF(ISNUMBER(SEARCH(TEXT(P$7,"yyyy-mm-dd"),TAREAS!$J$48)),IF(TAREAS!$I$48="Registro Git","R",IF(TAREAS!$I$48="Despliegue documentado","D","L")),""))</f>
        <v/>
      </c>
      <c r="Q9" s="14" t="str">
        <f>IF(TAREAS!$I$48="Propuesta",IF(AND(Q$7&gt;=TAREAS!$G$48,Q$7&lt;=TAREAS!$H$48,CALENDARIO!$C$82=1),"P",""),IF(ISNUMBER(SEARCH(TEXT(Q$7,"yyyy-mm-dd"),TAREAS!$J$48)),IF(TAREAS!$I$48="Registro Git","R",IF(TAREAS!$I$48="Despliegue documentado","D","L")),""))</f>
        <v/>
      </c>
      <c r="R9" s="15" t="str">
        <f>IF(TAREAS!$I$48="Propuesta",IF(AND(R$7&gt;=TAREAS!$G$48,R$7&lt;=TAREAS!$H$48,CALENDARIO!$C$83=1),"P",""),IF(ISNUMBER(SEARCH(TEXT(R$7,"yyyy-mm-dd"),TAREAS!$J$48)),IF(TAREAS!$I$48="Registro Git","R",IF(TAREAS!$I$48="Despliegue documentado","D","L")),""))</f>
        <v/>
      </c>
      <c r="S9" s="15" t="str">
        <f>IF(TAREAS!$I$48="Propuesta",IF(AND(S$7&gt;=TAREAS!$G$48,S$7&lt;=TAREAS!$H$48,CALENDARIO!$C$84=1),"P",""),IF(ISNUMBER(SEARCH(TEXT(S$7,"yyyy-mm-dd"),TAREAS!$J$48)),IF(TAREAS!$I$48="Registro Git","R",IF(TAREAS!$I$48="Despliegue documentado","D","L")),""))</f>
        <v/>
      </c>
      <c r="T9" s="14" t="str">
        <f>IF(TAREAS!$I$48="Propuesta",IF(AND(T$7&gt;=TAREAS!$G$48,T$7&lt;=TAREAS!$H$48,CALENDARIO!$C$85=1),"P",""),IF(ISNUMBER(SEARCH(TEXT(T$7,"yyyy-mm-dd"),TAREAS!$J$48)),IF(TAREAS!$I$48="Registro Git","R",IF(TAREAS!$I$48="Despliegue documentado","D","L")),""))</f>
        <v/>
      </c>
      <c r="U9" s="14" t="str">
        <f>IF(TAREAS!$I$48="Propuesta",IF(AND(U$7&gt;=TAREAS!$G$48,U$7&lt;=TAREAS!$H$48,CALENDARIO!$C$86=1),"P",""),IF(ISNUMBER(SEARCH(TEXT(U$7,"yyyy-mm-dd"),TAREAS!$J$48)),IF(TAREAS!$I$48="Registro Git","R",IF(TAREAS!$I$48="Despliegue documentado","D","L")),""))</f>
        <v/>
      </c>
      <c r="V9" s="14" t="str">
        <f>IF(TAREAS!$I$48="Propuesta",IF(AND(V$7&gt;=TAREAS!$G$48,V$7&lt;=TAREAS!$H$48,CALENDARIO!$C$87=1),"P",""),IF(ISNUMBER(SEARCH(TEXT(V$7,"yyyy-mm-dd"),TAREAS!$J$48)),IF(TAREAS!$I$48="Registro Git","R",IF(TAREAS!$I$48="Despliegue documentado","D","L")),""))</f>
        <v/>
      </c>
      <c r="W9" s="14" t="str">
        <f>IF(TAREAS!$I$48="Propuesta",IF(AND(W$7&gt;=TAREAS!$G$48,W$7&lt;=TAREAS!$H$48,CALENDARIO!$C$88=1),"P",""),IF(ISNUMBER(SEARCH(TEXT(W$7,"yyyy-mm-dd"),TAREAS!$J$48)),IF(TAREAS!$I$48="Registro Git","R",IF(TAREAS!$I$48="Despliegue documentado","D","L")),""))</f>
        <v/>
      </c>
      <c r="X9" s="14" t="str">
        <f>IF(TAREAS!$I$48="Propuesta",IF(AND(X$7&gt;=TAREAS!$G$48,X$7&lt;=TAREAS!$H$48,CALENDARIO!$C$89=1),"P",""),IF(ISNUMBER(SEARCH(TEXT(X$7,"yyyy-mm-dd"),TAREAS!$J$48)),IF(TAREAS!$I$48="Registro Git","R",IF(TAREAS!$I$48="Despliegue documentado","D","L")),""))</f>
        <v/>
      </c>
      <c r="Y9" s="15" t="str">
        <f>IF(TAREAS!$I$48="Propuesta",IF(AND(Y$7&gt;=TAREAS!$G$48,Y$7&lt;=TAREAS!$H$48,CALENDARIO!$C$90=1),"P",""),IF(ISNUMBER(SEARCH(TEXT(Y$7,"yyyy-mm-dd"),TAREAS!$J$48)),IF(TAREAS!$I$48="Registro Git","R",IF(TAREAS!$I$48="Despliegue documentado","D","L")),""))</f>
        <v/>
      </c>
      <c r="Z9" s="15" t="str">
        <f>IF(TAREAS!$I$48="Propuesta",IF(AND(Z$7&gt;=TAREAS!$G$48,Z$7&lt;=TAREAS!$H$48,CALENDARIO!$C$91=1),"P",""),IF(ISNUMBER(SEARCH(TEXT(Z$7,"yyyy-mm-dd"),TAREAS!$J$48)),IF(TAREAS!$I$48="Registro Git","R",IF(TAREAS!$I$48="Despliegue documentado","D","L")),""))</f>
        <v/>
      </c>
      <c r="AA9" s="14" t="str">
        <f>IF(TAREAS!$I$48="Propuesta",IF(AND(AA$7&gt;=TAREAS!$G$48,AA$7&lt;=TAREAS!$H$48,CALENDARIO!$C$92=1),"P",""),IF(ISNUMBER(SEARCH(TEXT(AA$7,"yyyy-mm-dd"),TAREAS!$J$48)),IF(TAREAS!$I$48="Registro Git","R",IF(TAREAS!$I$48="Despliegue documentado","D","L")),""))</f>
        <v/>
      </c>
      <c r="AB9" s="14" t="str">
        <f>IF(TAREAS!$I$48="Propuesta",IF(AND(AB$7&gt;=TAREAS!$G$48,AB$7&lt;=TAREAS!$H$48,CALENDARIO!$C$93=1),"P",""),IF(ISNUMBER(SEARCH(TEXT(AB$7,"yyyy-mm-dd"),TAREAS!$J$48)),IF(TAREAS!$I$48="Registro Git","R",IF(TAREAS!$I$48="Despliegue documentado","D","L")),""))</f>
        <v/>
      </c>
      <c r="AC9" s="14" t="str">
        <f>IF(TAREAS!$I$48="Propuesta",IF(AND(AC$7&gt;=TAREAS!$G$48,AC$7&lt;=TAREAS!$H$48,CALENDARIO!$C$94=1),"P",""),IF(ISNUMBER(SEARCH(TEXT(AC$7,"yyyy-mm-dd"),TAREAS!$J$48)),IF(TAREAS!$I$48="Registro Git","R",IF(TAREAS!$I$48="Despliegue documentado","D","L")),""))</f>
        <v/>
      </c>
      <c r="AD9" s="14" t="str">
        <f>IF(TAREAS!$I$48="Propuesta",IF(AND(AD$7&gt;=TAREAS!$G$48,AD$7&lt;=TAREAS!$H$48,CALENDARIO!$C$95=1),"P",""),IF(ISNUMBER(SEARCH(TEXT(AD$7,"yyyy-mm-dd"),TAREAS!$J$48)),IF(TAREAS!$I$48="Registro Git","R",IF(TAREAS!$I$48="Despliegue documentado","D","L")),""))</f>
        <v/>
      </c>
      <c r="AE9" s="14" t="str">
        <f>IF(TAREAS!$I$48="Propuesta",IF(AND(AE$7&gt;=TAREAS!$G$48,AE$7&lt;=TAREAS!$H$48,CALENDARIO!$C$96=1),"P",""),IF(ISNUMBER(SEARCH(TEXT(AE$7,"yyyy-mm-dd"),TAREAS!$J$48)),IF(TAREAS!$I$48="Registro Git","R",IF(TAREAS!$I$48="Despliegue documentado","D","L")),""))</f>
        <v/>
      </c>
      <c r="AF9" s="15" t="str">
        <f>IF(TAREAS!$I$48="Propuesta",IF(AND(AF$7&gt;=TAREAS!$G$48,AF$7&lt;=TAREAS!$H$48,CALENDARIO!$C$97=1),"P",""),IF(ISNUMBER(SEARCH(TEXT(AF$7,"yyyy-mm-dd"),TAREAS!$J$48)),IF(TAREAS!$I$48="Registro Git","R",IF(TAREAS!$I$48="Despliegue documentado","D","L")),""))</f>
        <v/>
      </c>
      <c r="AG9" s="15" t="str">
        <f>IF(TAREAS!$I$48="Propuesta",IF(AND(AG$7&gt;=TAREAS!$G$48,AG$7&lt;=TAREAS!$H$48,CALENDARIO!$C$98=1),"P",""),IF(ISNUMBER(SEARCH(TEXT(AG$7,"yyyy-mm-dd"),TAREAS!$J$48)),IF(TAREAS!$I$48="Registro Git","R",IF(TAREAS!$I$48="Despliegue documentado","D","L")),""))</f>
        <v/>
      </c>
      <c r="AH9" s="14" t="str">
        <f>IF(TAREAS!$I$48="Propuesta",IF(AND(AH$7&gt;=TAREAS!$G$48,AH$7&lt;=TAREAS!$H$48,CALENDARIO!$C$99=1),"P",""),IF(ISNUMBER(SEARCH(TEXT(AH$7,"yyyy-mm-dd"),TAREAS!$J$48)),IF(TAREAS!$I$48="Registro Git","R",IF(TAREAS!$I$48="Despliegue documentado","D","L")),""))</f>
        <v/>
      </c>
    </row>
    <row r="10" spans="1:34" ht="72" customHeight="1" x14ac:dyDescent="0.25">
      <c r="A10" s="19" t="str">
        <f>TAREAS!C49</f>
        <v>HU-G11 · Como usuario, quiero mejoras de calidad y flujos confiables.</v>
      </c>
      <c r="B10" s="12" t="str">
        <f>TAREAS!A49&amp;" · "&amp;TAREAS!D49</f>
        <v>T-045 · Mejorar estados de error, accesibilidad y uso móvil</v>
      </c>
      <c r="C10" s="12" t="str">
        <f>TAREAS!F49</f>
        <v>Sistemas + Diseño gráfico</v>
      </c>
      <c r="D10" s="13">
        <f t="shared" si="0"/>
        <v>4</v>
      </c>
      <c r="E10" s="15" t="str">
        <f>IF(TAREAS!$I$49="Propuesta",IF(AND(E$7&gt;=TAREAS!$G$49,E$7&lt;=TAREAS!$H$49,CALENDARIO!$C$70=1),"P",""),IF(ISNUMBER(SEARCH(TEXT(E$7,"yyyy-mm-dd"),TAREAS!$J$49)),IF(TAREAS!$I$49="Registro Git","R",IF(TAREAS!$I$49="Despliegue documentado","D","L")),""))</f>
        <v/>
      </c>
      <c r="F10" s="14" t="str">
        <f>IF(TAREAS!$I$49="Propuesta",IF(AND(F$7&gt;=TAREAS!$G$49,F$7&lt;=TAREAS!$H$49,CALENDARIO!$C$71=1),"P",""),IF(ISNUMBER(SEARCH(TEXT(F$7,"yyyy-mm-dd"),TAREAS!$J$49)),IF(TAREAS!$I$49="Registro Git","R",IF(TAREAS!$I$49="Despliegue documentado","D","L")),""))</f>
        <v/>
      </c>
      <c r="G10" s="14" t="str">
        <f>IF(TAREAS!$I$49="Propuesta",IF(AND(G$7&gt;=TAREAS!$G$49,G$7&lt;=TAREAS!$H$49,CALENDARIO!$C$72=1),"P",""),IF(ISNUMBER(SEARCH(TEXT(G$7,"yyyy-mm-dd"),TAREAS!$J$49)),IF(TAREAS!$I$49="Registro Git","R",IF(TAREAS!$I$49="Despliegue documentado","D","L")),""))</f>
        <v/>
      </c>
      <c r="H10" s="14" t="str">
        <f>IF(TAREAS!$I$49="Propuesta",IF(AND(H$7&gt;=TAREAS!$G$49,H$7&lt;=TAREAS!$H$49,CALENDARIO!$C$73=1),"P",""),IF(ISNUMBER(SEARCH(TEXT(H$7,"yyyy-mm-dd"),TAREAS!$J$49)),IF(TAREAS!$I$49="Registro Git","R",IF(TAREAS!$I$49="Despliegue documentado","D","L")),""))</f>
        <v/>
      </c>
      <c r="I10" s="14" t="str">
        <f>IF(TAREAS!$I$49="Propuesta",IF(AND(I$7&gt;=TAREAS!$G$49,I$7&lt;=TAREAS!$H$49,CALENDARIO!$C$74=1),"P",""),IF(ISNUMBER(SEARCH(TEXT(I$7,"yyyy-mm-dd"),TAREAS!$J$49)),IF(TAREAS!$I$49="Registro Git","R",IF(TAREAS!$I$49="Despliegue documentado","D","L")),""))</f>
        <v>P</v>
      </c>
      <c r="J10" s="14" t="str">
        <f>IF(TAREAS!$I$49="Propuesta",IF(AND(J$7&gt;=TAREAS!$G$49,J$7&lt;=TAREAS!$H$49,CALENDARIO!$C$75=1),"P",""),IF(ISNUMBER(SEARCH(TEXT(J$7,"yyyy-mm-dd"),TAREAS!$J$49)),IF(TAREAS!$I$49="Registro Git","R",IF(TAREAS!$I$49="Despliegue documentado","D","L")),""))</f>
        <v>P</v>
      </c>
      <c r="K10" s="15" t="str">
        <f>IF(TAREAS!$I$49="Propuesta",IF(AND(K$7&gt;=TAREAS!$G$49,K$7&lt;=TAREAS!$H$49,CALENDARIO!$C$76=1),"P",""),IF(ISNUMBER(SEARCH(TEXT(K$7,"yyyy-mm-dd"),TAREAS!$J$49)),IF(TAREAS!$I$49="Registro Git","R",IF(TAREAS!$I$49="Despliegue documentado","D","L")),""))</f>
        <v/>
      </c>
      <c r="L10" s="15" t="str">
        <f>IF(TAREAS!$I$49="Propuesta",IF(AND(L$7&gt;=TAREAS!$G$49,L$7&lt;=TAREAS!$H$49,CALENDARIO!$C$77=1),"P",""),IF(ISNUMBER(SEARCH(TEXT(L$7,"yyyy-mm-dd"),TAREAS!$J$49)),IF(TAREAS!$I$49="Registro Git","R",IF(TAREAS!$I$49="Despliegue documentado","D","L")),""))</f>
        <v/>
      </c>
      <c r="M10" s="14" t="str">
        <f>IF(TAREAS!$I$49="Propuesta",IF(AND(M$7&gt;=TAREAS!$G$49,M$7&lt;=TAREAS!$H$49,CALENDARIO!$C$78=1),"P",""),IF(ISNUMBER(SEARCH(TEXT(M$7,"yyyy-mm-dd"),TAREAS!$J$49)),IF(TAREAS!$I$49="Registro Git","R",IF(TAREAS!$I$49="Despliegue documentado","D","L")),""))</f>
        <v>P</v>
      </c>
      <c r="N10" s="14" t="str">
        <f>IF(TAREAS!$I$49="Propuesta",IF(AND(N$7&gt;=TAREAS!$G$49,N$7&lt;=TAREAS!$H$49,CALENDARIO!$C$79=1),"P",""),IF(ISNUMBER(SEARCH(TEXT(N$7,"yyyy-mm-dd"),TAREAS!$J$49)),IF(TAREAS!$I$49="Registro Git","R",IF(TAREAS!$I$49="Despliegue documentado","D","L")),""))</f>
        <v>P</v>
      </c>
      <c r="O10" s="14" t="str">
        <f>IF(TAREAS!$I$49="Propuesta",IF(AND(O$7&gt;=TAREAS!$G$49,O$7&lt;=TAREAS!$H$49,CALENDARIO!$C$80=1),"P",""),IF(ISNUMBER(SEARCH(TEXT(O$7,"yyyy-mm-dd"),TAREAS!$J$49)),IF(TAREAS!$I$49="Registro Git","R",IF(TAREAS!$I$49="Despliegue documentado","D","L")),""))</f>
        <v/>
      </c>
      <c r="P10" s="14" t="str">
        <f>IF(TAREAS!$I$49="Propuesta",IF(AND(P$7&gt;=TAREAS!$G$49,P$7&lt;=TAREAS!$H$49,CALENDARIO!$C$81=1),"P",""),IF(ISNUMBER(SEARCH(TEXT(P$7,"yyyy-mm-dd"),TAREAS!$J$49)),IF(TAREAS!$I$49="Registro Git","R",IF(TAREAS!$I$49="Despliegue documentado","D","L")),""))</f>
        <v/>
      </c>
      <c r="Q10" s="14" t="str">
        <f>IF(TAREAS!$I$49="Propuesta",IF(AND(Q$7&gt;=TAREAS!$G$49,Q$7&lt;=TAREAS!$H$49,CALENDARIO!$C$82=1),"P",""),IF(ISNUMBER(SEARCH(TEXT(Q$7,"yyyy-mm-dd"),TAREAS!$J$49)),IF(TAREAS!$I$49="Registro Git","R",IF(TAREAS!$I$49="Despliegue documentado","D","L")),""))</f>
        <v/>
      </c>
      <c r="R10" s="15" t="str">
        <f>IF(TAREAS!$I$49="Propuesta",IF(AND(R$7&gt;=TAREAS!$G$49,R$7&lt;=TAREAS!$H$49,CALENDARIO!$C$83=1),"P",""),IF(ISNUMBER(SEARCH(TEXT(R$7,"yyyy-mm-dd"),TAREAS!$J$49)),IF(TAREAS!$I$49="Registro Git","R",IF(TAREAS!$I$49="Despliegue documentado","D","L")),""))</f>
        <v/>
      </c>
      <c r="S10" s="15" t="str">
        <f>IF(TAREAS!$I$49="Propuesta",IF(AND(S$7&gt;=TAREAS!$G$49,S$7&lt;=TAREAS!$H$49,CALENDARIO!$C$84=1),"P",""),IF(ISNUMBER(SEARCH(TEXT(S$7,"yyyy-mm-dd"),TAREAS!$J$49)),IF(TAREAS!$I$49="Registro Git","R",IF(TAREAS!$I$49="Despliegue documentado","D","L")),""))</f>
        <v/>
      </c>
      <c r="T10" s="14" t="str">
        <f>IF(TAREAS!$I$49="Propuesta",IF(AND(T$7&gt;=TAREAS!$G$49,T$7&lt;=TAREAS!$H$49,CALENDARIO!$C$85=1),"P",""),IF(ISNUMBER(SEARCH(TEXT(T$7,"yyyy-mm-dd"),TAREAS!$J$49)),IF(TAREAS!$I$49="Registro Git","R",IF(TAREAS!$I$49="Despliegue documentado","D","L")),""))</f>
        <v/>
      </c>
      <c r="U10" s="14" t="str">
        <f>IF(TAREAS!$I$49="Propuesta",IF(AND(U$7&gt;=TAREAS!$G$49,U$7&lt;=TAREAS!$H$49,CALENDARIO!$C$86=1),"P",""),IF(ISNUMBER(SEARCH(TEXT(U$7,"yyyy-mm-dd"),TAREAS!$J$49)),IF(TAREAS!$I$49="Registro Git","R",IF(TAREAS!$I$49="Despliegue documentado","D","L")),""))</f>
        <v/>
      </c>
      <c r="V10" s="14" t="str">
        <f>IF(TAREAS!$I$49="Propuesta",IF(AND(V$7&gt;=TAREAS!$G$49,V$7&lt;=TAREAS!$H$49,CALENDARIO!$C$87=1),"P",""),IF(ISNUMBER(SEARCH(TEXT(V$7,"yyyy-mm-dd"),TAREAS!$J$49)),IF(TAREAS!$I$49="Registro Git","R",IF(TAREAS!$I$49="Despliegue documentado","D","L")),""))</f>
        <v/>
      </c>
      <c r="W10" s="14" t="str">
        <f>IF(TAREAS!$I$49="Propuesta",IF(AND(W$7&gt;=TAREAS!$G$49,W$7&lt;=TAREAS!$H$49,CALENDARIO!$C$88=1),"P",""),IF(ISNUMBER(SEARCH(TEXT(W$7,"yyyy-mm-dd"),TAREAS!$J$49)),IF(TAREAS!$I$49="Registro Git","R",IF(TAREAS!$I$49="Despliegue documentado","D","L")),""))</f>
        <v/>
      </c>
      <c r="X10" s="14" t="str">
        <f>IF(TAREAS!$I$49="Propuesta",IF(AND(X$7&gt;=TAREAS!$G$49,X$7&lt;=TAREAS!$H$49,CALENDARIO!$C$89=1),"P",""),IF(ISNUMBER(SEARCH(TEXT(X$7,"yyyy-mm-dd"),TAREAS!$J$49)),IF(TAREAS!$I$49="Registro Git","R",IF(TAREAS!$I$49="Despliegue documentado","D","L")),""))</f>
        <v/>
      </c>
      <c r="Y10" s="15" t="str">
        <f>IF(TAREAS!$I$49="Propuesta",IF(AND(Y$7&gt;=TAREAS!$G$49,Y$7&lt;=TAREAS!$H$49,CALENDARIO!$C$90=1),"P",""),IF(ISNUMBER(SEARCH(TEXT(Y$7,"yyyy-mm-dd"),TAREAS!$J$49)),IF(TAREAS!$I$49="Registro Git","R",IF(TAREAS!$I$49="Despliegue documentado","D","L")),""))</f>
        <v/>
      </c>
      <c r="Z10" s="15" t="str">
        <f>IF(TAREAS!$I$49="Propuesta",IF(AND(Z$7&gt;=TAREAS!$G$49,Z$7&lt;=TAREAS!$H$49,CALENDARIO!$C$91=1),"P",""),IF(ISNUMBER(SEARCH(TEXT(Z$7,"yyyy-mm-dd"),TAREAS!$J$49)),IF(TAREAS!$I$49="Registro Git","R",IF(TAREAS!$I$49="Despliegue documentado","D","L")),""))</f>
        <v/>
      </c>
      <c r="AA10" s="14" t="str">
        <f>IF(TAREAS!$I$49="Propuesta",IF(AND(AA$7&gt;=TAREAS!$G$49,AA$7&lt;=TAREAS!$H$49,CALENDARIO!$C$92=1),"P",""),IF(ISNUMBER(SEARCH(TEXT(AA$7,"yyyy-mm-dd"),TAREAS!$J$49)),IF(TAREAS!$I$49="Registro Git","R",IF(TAREAS!$I$49="Despliegue documentado","D","L")),""))</f>
        <v/>
      </c>
      <c r="AB10" s="14" t="str">
        <f>IF(TAREAS!$I$49="Propuesta",IF(AND(AB$7&gt;=TAREAS!$G$49,AB$7&lt;=TAREAS!$H$49,CALENDARIO!$C$93=1),"P",""),IF(ISNUMBER(SEARCH(TEXT(AB$7,"yyyy-mm-dd"),TAREAS!$J$49)),IF(TAREAS!$I$49="Registro Git","R",IF(TAREAS!$I$49="Despliegue documentado","D","L")),""))</f>
        <v/>
      </c>
      <c r="AC10" s="14" t="str">
        <f>IF(TAREAS!$I$49="Propuesta",IF(AND(AC$7&gt;=TAREAS!$G$49,AC$7&lt;=TAREAS!$H$49,CALENDARIO!$C$94=1),"P",""),IF(ISNUMBER(SEARCH(TEXT(AC$7,"yyyy-mm-dd"),TAREAS!$J$49)),IF(TAREAS!$I$49="Registro Git","R",IF(TAREAS!$I$49="Despliegue documentado","D","L")),""))</f>
        <v/>
      </c>
      <c r="AD10" s="14" t="str">
        <f>IF(TAREAS!$I$49="Propuesta",IF(AND(AD$7&gt;=TAREAS!$G$49,AD$7&lt;=TAREAS!$H$49,CALENDARIO!$C$95=1),"P",""),IF(ISNUMBER(SEARCH(TEXT(AD$7,"yyyy-mm-dd"),TAREAS!$J$49)),IF(TAREAS!$I$49="Registro Git","R",IF(TAREAS!$I$49="Despliegue documentado","D","L")),""))</f>
        <v/>
      </c>
      <c r="AE10" s="14" t="str">
        <f>IF(TAREAS!$I$49="Propuesta",IF(AND(AE$7&gt;=TAREAS!$G$49,AE$7&lt;=TAREAS!$H$49,CALENDARIO!$C$96=1),"P",""),IF(ISNUMBER(SEARCH(TEXT(AE$7,"yyyy-mm-dd"),TAREAS!$J$49)),IF(TAREAS!$I$49="Registro Git","R",IF(TAREAS!$I$49="Despliegue documentado","D","L")),""))</f>
        <v/>
      </c>
      <c r="AF10" s="15" t="str">
        <f>IF(TAREAS!$I$49="Propuesta",IF(AND(AF$7&gt;=TAREAS!$G$49,AF$7&lt;=TAREAS!$H$49,CALENDARIO!$C$97=1),"P",""),IF(ISNUMBER(SEARCH(TEXT(AF$7,"yyyy-mm-dd"),TAREAS!$J$49)),IF(TAREAS!$I$49="Registro Git","R",IF(TAREAS!$I$49="Despliegue documentado","D","L")),""))</f>
        <v/>
      </c>
      <c r="AG10" s="15" t="str">
        <f>IF(TAREAS!$I$49="Propuesta",IF(AND(AG$7&gt;=TAREAS!$G$49,AG$7&lt;=TAREAS!$H$49,CALENDARIO!$C$98=1),"P",""),IF(ISNUMBER(SEARCH(TEXT(AG$7,"yyyy-mm-dd"),TAREAS!$J$49)),IF(TAREAS!$I$49="Registro Git","R",IF(TAREAS!$I$49="Despliegue documentado","D","L")),""))</f>
        <v/>
      </c>
      <c r="AH10" s="14" t="str">
        <f>IF(TAREAS!$I$49="Propuesta",IF(AND(AH$7&gt;=TAREAS!$G$49,AH$7&lt;=TAREAS!$H$49,CALENDARIO!$C$99=1),"P",""),IF(ISNUMBER(SEARCH(TEXT(AH$7,"yyyy-mm-dd"),TAREAS!$J$49)),IF(TAREAS!$I$49="Registro Git","R",IF(TAREAS!$I$49="Despliegue documentado","D","L")),""))</f>
        <v/>
      </c>
    </row>
    <row r="11" spans="1:34" ht="72" customHeight="1" x14ac:dyDescent="0.25">
      <c r="A11" s="19" t="str">
        <f>TAREAS!C50</f>
        <v>HU-G11 · Como usuario, quiero mejoras de calidad y flujos confiables.</v>
      </c>
      <c r="B11" s="12" t="str">
        <f>TAREAS!A50&amp;" · "&amp;TAREAS!D50</f>
        <v>T-046 · Medir y optimizar carga, consultas e imágenes</v>
      </c>
      <c r="C11" s="12" t="str">
        <f>TAREAS!F50</f>
        <v>Sistemas + QA</v>
      </c>
      <c r="D11" s="13">
        <f t="shared" si="0"/>
        <v>3</v>
      </c>
      <c r="E11" s="15" t="str">
        <f>IF(TAREAS!$I$50="Propuesta",IF(AND(E$7&gt;=TAREAS!$G$50,E$7&lt;=TAREAS!$H$50,CALENDARIO!$C$70=1),"P",""),IF(ISNUMBER(SEARCH(TEXT(E$7,"yyyy-mm-dd"),TAREAS!$J$50)),IF(TAREAS!$I$50="Registro Git","R",IF(TAREAS!$I$50="Despliegue documentado","D","L")),""))</f>
        <v/>
      </c>
      <c r="F11" s="14" t="str">
        <f>IF(TAREAS!$I$50="Propuesta",IF(AND(F$7&gt;=TAREAS!$G$50,F$7&lt;=TAREAS!$H$50,CALENDARIO!$C$71=1),"P",""),IF(ISNUMBER(SEARCH(TEXT(F$7,"yyyy-mm-dd"),TAREAS!$J$50)),IF(TAREAS!$I$50="Registro Git","R",IF(TAREAS!$I$50="Despliegue documentado","D","L")),""))</f>
        <v/>
      </c>
      <c r="G11" s="14" t="str">
        <f>IF(TAREAS!$I$50="Propuesta",IF(AND(G$7&gt;=TAREAS!$G$50,G$7&lt;=TAREAS!$H$50,CALENDARIO!$C$72=1),"P",""),IF(ISNUMBER(SEARCH(TEXT(G$7,"yyyy-mm-dd"),TAREAS!$J$50)),IF(TAREAS!$I$50="Registro Git","R",IF(TAREAS!$I$50="Despliegue documentado","D","L")),""))</f>
        <v/>
      </c>
      <c r="H11" s="14" t="str">
        <f>IF(TAREAS!$I$50="Propuesta",IF(AND(H$7&gt;=TAREAS!$G$50,H$7&lt;=TAREAS!$H$50,CALENDARIO!$C$73=1),"P",""),IF(ISNUMBER(SEARCH(TEXT(H$7,"yyyy-mm-dd"),TAREAS!$J$50)),IF(TAREAS!$I$50="Registro Git","R",IF(TAREAS!$I$50="Despliegue documentado","D","L")),""))</f>
        <v/>
      </c>
      <c r="I11" s="14" t="str">
        <f>IF(TAREAS!$I$50="Propuesta",IF(AND(I$7&gt;=TAREAS!$G$50,I$7&lt;=TAREAS!$H$50,CALENDARIO!$C$74=1),"P",""),IF(ISNUMBER(SEARCH(TEXT(I$7,"yyyy-mm-dd"),TAREAS!$J$50)),IF(TAREAS!$I$50="Registro Git","R",IF(TAREAS!$I$50="Despliegue documentado","D","L")),""))</f>
        <v/>
      </c>
      <c r="J11" s="14" t="str">
        <f>IF(TAREAS!$I$50="Propuesta",IF(AND(J$7&gt;=TAREAS!$G$50,J$7&lt;=TAREAS!$H$50,CALENDARIO!$C$75=1),"P",""),IF(ISNUMBER(SEARCH(TEXT(J$7,"yyyy-mm-dd"),TAREAS!$J$50)),IF(TAREAS!$I$50="Registro Git","R",IF(TAREAS!$I$50="Despliegue documentado","D","L")),""))</f>
        <v/>
      </c>
      <c r="K11" s="15" t="str">
        <f>IF(TAREAS!$I$50="Propuesta",IF(AND(K$7&gt;=TAREAS!$G$50,K$7&lt;=TAREAS!$H$50,CALENDARIO!$C$76=1),"P",""),IF(ISNUMBER(SEARCH(TEXT(K$7,"yyyy-mm-dd"),TAREAS!$J$50)),IF(TAREAS!$I$50="Registro Git","R",IF(TAREAS!$I$50="Despliegue documentado","D","L")),""))</f>
        <v/>
      </c>
      <c r="L11" s="15" t="str">
        <f>IF(TAREAS!$I$50="Propuesta",IF(AND(L$7&gt;=TAREAS!$G$50,L$7&lt;=TAREAS!$H$50,CALENDARIO!$C$77=1),"P",""),IF(ISNUMBER(SEARCH(TEXT(L$7,"yyyy-mm-dd"),TAREAS!$J$50)),IF(TAREAS!$I$50="Registro Git","R",IF(TAREAS!$I$50="Despliegue documentado","D","L")),""))</f>
        <v/>
      </c>
      <c r="M11" s="14" t="str">
        <f>IF(TAREAS!$I$50="Propuesta",IF(AND(M$7&gt;=TAREAS!$G$50,M$7&lt;=TAREAS!$H$50,CALENDARIO!$C$78=1),"P",""),IF(ISNUMBER(SEARCH(TEXT(M$7,"yyyy-mm-dd"),TAREAS!$J$50)),IF(TAREAS!$I$50="Registro Git","R",IF(TAREAS!$I$50="Despliegue documentado","D","L")),""))</f>
        <v/>
      </c>
      <c r="N11" s="14" t="str">
        <f>IF(TAREAS!$I$50="Propuesta",IF(AND(N$7&gt;=TAREAS!$G$50,N$7&lt;=TAREAS!$H$50,CALENDARIO!$C$79=1),"P",""),IF(ISNUMBER(SEARCH(TEXT(N$7,"yyyy-mm-dd"),TAREAS!$J$50)),IF(TAREAS!$I$50="Registro Git","R",IF(TAREAS!$I$50="Despliegue documentado","D","L")),""))</f>
        <v/>
      </c>
      <c r="O11" s="14" t="str">
        <f>IF(TAREAS!$I$50="Propuesta",IF(AND(O$7&gt;=TAREAS!$G$50,O$7&lt;=TAREAS!$H$50,CALENDARIO!$C$80=1),"P",""),IF(ISNUMBER(SEARCH(TEXT(O$7,"yyyy-mm-dd"),TAREAS!$J$50)),IF(TAREAS!$I$50="Registro Git","R",IF(TAREAS!$I$50="Despliegue documentado","D","L")),""))</f>
        <v>P</v>
      </c>
      <c r="P11" s="14" t="str">
        <f>IF(TAREAS!$I$50="Propuesta",IF(AND(P$7&gt;=TAREAS!$G$50,P$7&lt;=TAREAS!$H$50,CALENDARIO!$C$81=1),"P",""),IF(ISNUMBER(SEARCH(TEXT(P$7,"yyyy-mm-dd"),TAREAS!$J$50)),IF(TAREAS!$I$50="Registro Git","R",IF(TAREAS!$I$50="Despliegue documentado","D","L")),""))</f>
        <v>P</v>
      </c>
      <c r="Q11" s="14" t="str">
        <f>IF(TAREAS!$I$50="Propuesta",IF(AND(Q$7&gt;=TAREAS!$G$50,Q$7&lt;=TAREAS!$H$50,CALENDARIO!$C$82=1),"P",""),IF(ISNUMBER(SEARCH(TEXT(Q$7,"yyyy-mm-dd"),TAREAS!$J$50)),IF(TAREAS!$I$50="Registro Git","R",IF(TAREAS!$I$50="Despliegue documentado","D","L")),""))</f>
        <v>P</v>
      </c>
      <c r="R11" s="15" t="str">
        <f>IF(TAREAS!$I$50="Propuesta",IF(AND(R$7&gt;=TAREAS!$G$50,R$7&lt;=TAREAS!$H$50,CALENDARIO!$C$83=1),"P",""),IF(ISNUMBER(SEARCH(TEXT(R$7,"yyyy-mm-dd"),TAREAS!$J$50)),IF(TAREAS!$I$50="Registro Git","R",IF(TAREAS!$I$50="Despliegue documentado","D","L")),""))</f>
        <v/>
      </c>
      <c r="S11" s="15" t="str">
        <f>IF(TAREAS!$I$50="Propuesta",IF(AND(S$7&gt;=TAREAS!$G$50,S$7&lt;=TAREAS!$H$50,CALENDARIO!$C$84=1),"P",""),IF(ISNUMBER(SEARCH(TEXT(S$7,"yyyy-mm-dd"),TAREAS!$J$50)),IF(TAREAS!$I$50="Registro Git","R",IF(TAREAS!$I$50="Despliegue documentado","D","L")),""))</f>
        <v/>
      </c>
      <c r="T11" s="14" t="str">
        <f>IF(TAREAS!$I$50="Propuesta",IF(AND(T$7&gt;=TAREAS!$G$50,T$7&lt;=TAREAS!$H$50,CALENDARIO!$C$85=1),"P",""),IF(ISNUMBER(SEARCH(TEXT(T$7,"yyyy-mm-dd"),TAREAS!$J$50)),IF(TAREAS!$I$50="Registro Git","R",IF(TAREAS!$I$50="Despliegue documentado","D","L")),""))</f>
        <v/>
      </c>
      <c r="U11" s="14" t="str">
        <f>IF(TAREAS!$I$50="Propuesta",IF(AND(U$7&gt;=TAREAS!$G$50,U$7&lt;=TAREAS!$H$50,CALENDARIO!$C$86=1),"P",""),IF(ISNUMBER(SEARCH(TEXT(U$7,"yyyy-mm-dd"),TAREAS!$J$50)),IF(TAREAS!$I$50="Registro Git","R",IF(TAREAS!$I$50="Despliegue documentado","D","L")),""))</f>
        <v/>
      </c>
      <c r="V11" s="14" t="str">
        <f>IF(TAREAS!$I$50="Propuesta",IF(AND(V$7&gt;=TAREAS!$G$50,V$7&lt;=TAREAS!$H$50,CALENDARIO!$C$87=1),"P",""),IF(ISNUMBER(SEARCH(TEXT(V$7,"yyyy-mm-dd"),TAREAS!$J$50)),IF(TAREAS!$I$50="Registro Git","R",IF(TAREAS!$I$50="Despliegue documentado","D","L")),""))</f>
        <v/>
      </c>
      <c r="W11" s="14" t="str">
        <f>IF(TAREAS!$I$50="Propuesta",IF(AND(W$7&gt;=TAREAS!$G$50,W$7&lt;=TAREAS!$H$50,CALENDARIO!$C$88=1),"P",""),IF(ISNUMBER(SEARCH(TEXT(W$7,"yyyy-mm-dd"),TAREAS!$J$50)),IF(TAREAS!$I$50="Registro Git","R",IF(TAREAS!$I$50="Despliegue documentado","D","L")),""))</f>
        <v/>
      </c>
      <c r="X11" s="14" t="str">
        <f>IF(TAREAS!$I$50="Propuesta",IF(AND(X$7&gt;=TAREAS!$G$50,X$7&lt;=TAREAS!$H$50,CALENDARIO!$C$89=1),"P",""),IF(ISNUMBER(SEARCH(TEXT(X$7,"yyyy-mm-dd"),TAREAS!$J$50)),IF(TAREAS!$I$50="Registro Git","R",IF(TAREAS!$I$50="Despliegue documentado","D","L")),""))</f>
        <v/>
      </c>
      <c r="Y11" s="15" t="str">
        <f>IF(TAREAS!$I$50="Propuesta",IF(AND(Y$7&gt;=TAREAS!$G$50,Y$7&lt;=TAREAS!$H$50,CALENDARIO!$C$90=1),"P",""),IF(ISNUMBER(SEARCH(TEXT(Y$7,"yyyy-mm-dd"),TAREAS!$J$50)),IF(TAREAS!$I$50="Registro Git","R",IF(TAREAS!$I$50="Despliegue documentado","D","L")),""))</f>
        <v/>
      </c>
      <c r="Z11" s="15" t="str">
        <f>IF(TAREAS!$I$50="Propuesta",IF(AND(Z$7&gt;=TAREAS!$G$50,Z$7&lt;=TAREAS!$H$50,CALENDARIO!$C$91=1),"P",""),IF(ISNUMBER(SEARCH(TEXT(Z$7,"yyyy-mm-dd"),TAREAS!$J$50)),IF(TAREAS!$I$50="Registro Git","R",IF(TAREAS!$I$50="Despliegue documentado","D","L")),""))</f>
        <v/>
      </c>
      <c r="AA11" s="14" t="str">
        <f>IF(TAREAS!$I$50="Propuesta",IF(AND(AA$7&gt;=TAREAS!$G$50,AA$7&lt;=TAREAS!$H$50,CALENDARIO!$C$92=1),"P",""),IF(ISNUMBER(SEARCH(TEXT(AA$7,"yyyy-mm-dd"),TAREAS!$J$50)),IF(TAREAS!$I$50="Registro Git","R",IF(TAREAS!$I$50="Despliegue documentado","D","L")),""))</f>
        <v/>
      </c>
      <c r="AB11" s="14" t="str">
        <f>IF(TAREAS!$I$50="Propuesta",IF(AND(AB$7&gt;=TAREAS!$G$50,AB$7&lt;=TAREAS!$H$50,CALENDARIO!$C$93=1),"P",""),IF(ISNUMBER(SEARCH(TEXT(AB$7,"yyyy-mm-dd"),TAREAS!$J$50)),IF(TAREAS!$I$50="Registro Git","R",IF(TAREAS!$I$50="Despliegue documentado","D","L")),""))</f>
        <v/>
      </c>
      <c r="AC11" s="14" t="str">
        <f>IF(TAREAS!$I$50="Propuesta",IF(AND(AC$7&gt;=TAREAS!$G$50,AC$7&lt;=TAREAS!$H$50,CALENDARIO!$C$94=1),"P",""),IF(ISNUMBER(SEARCH(TEXT(AC$7,"yyyy-mm-dd"),TAREAS!$J$50)),IF(TAREAS!$I$50="Registro Git","R",IF(TAREAS!$I$50="Despliegue documentado","D","L")),""))</f>
        <v/>
      </c>
      <c r="AD11" s="14" t="str">
        <f>IF(TAREAS!$I$50="Propuesta",IF(AND(AD$7&gt;=TAREAS!$G$50,AD$7&lt;=TAREAS!$H$50,CALENDARIO!$C$95=1),"P",""),IF(ISNUMBER(SEARCH(TEXT(AD$7,"yyyy-mm-dd"),TAREAS!$J$50)),IF(TAREAS!$I$50="Registro Git","R",IF(TAREAS!$I$50="Despliegue documentado","D","L")),""))</f>
        <v/>
      </c>
      <c r="AE11" s="14" t="str">
        <f>IF(TAREAS!$I$50="Propuesta",IF(AND(AE$7&gt;=TAREAS!$G$50,AE$7&lt;=TAREAS!$H$50,CALENDARIO!$C$96=1),"P",""),IF(ISNUMBER(SEARCH(TEXT(AE$7,"yyyy-mm-dd"),TAREAS!$J$50)),IF(TAREAS!$I$50="Registro Git","R",IF(TAREAS!$I$50="Despliegue documentado","D","L")),""))</f>
        <v/>
      </c>
      <c r="AF11" s="15" t="str">
        <f>IF(TAREAS!$I$50="Propuesta",IF(AND(AF$7&gt;=TAREAS!$G$50,AF$7&lt;=TAREAS!$H$50,CALENDARIO!$C$97=1),"P",""),IF(ISNUMBER(SEARCH(TEXT(AF$7,"yyyy-mm-dd"),TAREAS!$J$50)),IF(TAREAS!$I$50="Registro Git","R",IF(TAREAS!$I$50="Despliegue documentado","D","L")),""))</f>
        <v/>
      </c>
      <c r="AG11" s="15" t="str">
        <f>IF(TAREAS!$I$50="Propuesta",IF(AND(AG$7&gt;=TAREAS!$G$50,AG$7&lt;=TAREAS!$H$50,CALENDARIO!$C$98=1),"P",""),IF(ISNUMBER(SEARCH(TEXT(AG$7,"yyyy-mm-dd"),TAREAS!$J$50)),IF(TAREAS!$I$50="Registro Git","R",IF(TAREAS!$I$50="Despliegue documentado","D","L")),""))</f>
        <v/>
      </c>
      <c r="AH11" s="14" t="str">
        <f>IF(TAREAS!$I$50="Propuesta",IF(AND(AH$7&gt;=TAREAS!$G$50,AH$7&lt;=TAREAS!$H$50,CALENDARIO!$C$99=1),"P",""),IF(ISNUMBER(SEARCH(TEXT(AH$7,"yyyy-mm-dd"),TAREAS!$J$50)),IF(TAREAS!$I$50="Registro Git","R",IF(TAREAS!$I$50="Despliegue documentado","D","L")),""))</f>
        <v/>
      </c>
    </row>
    <row r="12" spans="1:34" ht="72" customHeight="1" x14ac:dyDescent="0.25">
      <c r="A12" s="19" t="str">
        <f>TAREAS!C51</f>
        <v>HU-G05 · Como responsable, quiero asignar trabajo y supervisar el cumplimiento.</v>
      </c>
      <c r="B12" s="12" t="str">
        <f>TAREAS!A51&amp;" · "&amp;TAREAS!D51</f>
        <v>T-047 · Mejorar asignaciones, revisión y recuperación de archivos</v>
      </c>
      <c r="C12" s="12" t="str">
        <f>TAREAS!F51</f>
        <v>Sistemas + líderes</v>
      </c>
      <c r="D12" s="13">
        <f t="shared" si="0"/>
        <v>3</v>
      </c>
      <c r="E12" s="15" t="str">
        <f>IF(TAREAS!$I$51="Propuesta",IF(AND(E$7&gt;=TAREAS!$G$51,E$7&lt;=TAREAS!$H$51,CALENDARIO!$C$70=1),"P",""),IF(ISNUMBER(SEARCH(TEXT(E$7,"yyyy-mm-dd"),TAREAS!$J$51)),IF(TAREAS!$I$51="Registro Git","R",IF(TAREAS!$I$51="Despliegue documentado","D","L")),""))</f>
        <v/>
      </c>
      <c r="F12" s="14" t="str">
        <f>IF(TAREAS!$I$51="Propuesta",IF(AND(F$7&gt;=TAREAS!$G$51,F$7&lt;=TAREAS!$H$51,CALENDARIO!$C$71=1),"P",""),IF(ISNUMBER(SEARCH(TEXT(F$7,"yyyy-mm-dd"),TAREAS!$J$51)),IF(TAREAS!$I$51="Registro Git","R",IF(TAREAS!$I$51="Despliegue documentado","D","L")),""))</f>
        <v/>
      </c>
      <c r="G12" s="14" t="str">
        <f>IF(TAREAS!$I$51="Propuesta",IF(AND(G$7&gt;=TAREAS!$G$51,G$7&lt;=TAREAS!$H$51,CALENDARIO!$C$72=1),"P",""),IF(ISNUMBER(SEARCH(TEXT(G$7,"yyyy-mm-dd"),TAREAS!$J$51)),IF(TAREAS!$I$51="Registro Git","R",IF(TAREAS!$I$51="Despliegue documentado","D","L")),""))</f>
        <v/>
      </c>
      <c r="H12" s="14" t="str">
        <f>IF(TAREAS!$I$51="Propuesta",IF(AND(H$7&gt;=TAREAS!$G$51,H$7&lt;=TAREAS!$H$51,CALENDARIO!$C$73=1),"P",""),IF(ISNUMBER(SEARCH(TEXT(H$7,"yyyy-mm-dd"),TAREAS!$J$51)),IF(TAREAS!$I$51="Registro Git","R",IF(TAREAS!$I$51="Despliegue documentado","D","L")),""))</f>
        <v/>
      </c>
      <c r="I12" s="14" t="str">
        <f>IF(TAREAS!$I$51="Propuesta",IF(AND(I$7&gt;=TAREAS!$G$51,I$7&lt;=TAREAS!$H$51,CALENDARIO!$C$74=1),"P",""),IF(ISNUMBER(SEARCH(TEXT(I$7,"yyyy-mm-dd"),TAREAS!$J$51)),IF(TAREAS!$I$51="Registro Git","R",IF(TAREAS!$I$51="Despliegue documentado","D","L")),""))</f>
        <v/>
      </c>
      <c r="J12" s="14" t="str">
        <f>IF(TAREAS!$I$51="Propuesta",IF(AND(J$7&gt;=TAREAS!$G$51,J$7&lt;=TAREAS!$H$51,CALENDARIO!$C$75=1),"P",""),IF(ISNUMBER(SEARCH(TEXT(J$7,"yyyy-mm-dd"),TAREAS!$J$51)),IF(TAREAS!$I$51="Registro Git","R",IF(TAREAS!$I$51="Despliegue documentado","D","L")),""))</f>
        <v/>
      </c>
      <c r="K12" s="15" t="str">
        <f>IF(TAREAS!$I$51="Propuesta",IF(AND(K$7&gt;=TAREAS!$G$51,K$7&lt;=TAREAS!$H$51,CALENDARIO!$C$76=1),"P",""),IF(ISNUMBER(SEARCH(TEXT(K$7,"yyyy-mm-dd"),TAREAS!$J$51)),IF(TAREAS!$I$51="Registro Git","R",IF(TAREAS!$I$51="Despliegue documentado","D","L")),""))</f>
        <v/>
      </c>
      <c r="L12" s="15" t="str">
        <f>IF(TAREAS!$I$51="Propuesta",IF(AND(L$7&gt;=TAREAS!$G$51,L$7&lt;=TAREAS!$H$51,CALENDARIO!$C$77=1),"P",""),IF(ISNUMBER(SEARCH(TEXT(L$7,"yyyy-mm-dd"),TAREAS!$J$51)),IF(TAREAS!$I$51="Registro Git","R",IF(TAREAS!$I$51="Despliegue documentado","D","L")),""))</f>
        <v/>
      </c>
      <c r="M12" s="14" t="str">
        <f>IF(TAREAS!$I$51="Propuesta",IF(AND(M$7&gt;=TAREAS!$G$51,M$7&lt;=TAREAS!$H$51,CALENDARIO!$C$78=1),"P",""),IF(ISNUMBER(SEARCH(TEXT(M$7,"yyyy-mm-dd"),TAREAS!$J$51)),IF(TAREAS!$I$51="Registro Git","R",IF(TAREAS!$I$51="Despliegue documentado","D","L")),""))</f>
        <v/>
      </c>
      <c r="N12" s="14" t="str">
        <f>IF(TAREAS!$I$51="Propuesta",IF(AND(N$7&gt;=TAREAS!$G$51,N$7&lt;=TAREAS!$H$51,CALENDARIO!$C$79=1),"P",""),IF(ISNUMBER(SEARCH(TEXT(N$7,"yyyy-mm-dd"),TAREAS!$J$51)),IF(TAREAS!$I$51="Registro Git","R",IF(TAREAS!$I$51="Despliegue documentado","D","L")),""))</f>
        <v/>
      </c>
      <c r="O12" s="14" t="str">
        <f>IF(TAREAS!$I$51="Propuesta",IF(AND(O$7&gt;=TAREAS!$G$51,O$7&lt;=TAREAS!$H$51,CALENDARIO!$C$80=1),"P",""),IF(ISNUMBER(SEARCH(TEXT(O$7,"yyyy-mm-dd"),TAREAS!$J$51)),IF(TAREAS!$I$51="Registro Git","R",IF(TAREAS!$I$51="Despliegue documentado","D","L")),""))</f>
        <v/>
      </c>
      <c r="P12" s="14" t="str">
        <f>IF(TAREAS!$I$51="Propuesta",IF(AND(P$7&gt;=TAREAS!$G$51,P$7&lt;=TAREAS!$H$51,CALENDARIO!$C$81=1),"P",""),IF(ISNUMBER(SEARCH(TEXT(P$7,"yyyy-mm-dd"),TAREAS!$J$51)),IF(TAREAS!$I$51="Registro Git","R",IF(TAREAS!$I$51="Despliegue documentado","D","L")),""))</f>
        <v/>
      </c>
      <c r="Q12" s="14" t="str">
        <f>IF(TAREAS!$I$51="Propuesta",IF(AND(Q$7&gt;=TAREAS!$G$51,Q$7&lt;=TAREAS!$H$51,CALENDARIO!$C$82=1),"P",""),IF(ISNUMBER(SEARCH(TEXT(Q$7,"yyyy-mm-dd"),TAREAS!$J$51)),IF(TAREAS!$I$51="Registro Git","R",IF(TAREAS!$I$51="Despliegue documentado","D","L")),""))</f>
        <v/>
      </c>
      <c r="R12" s="15" t="str">
        <f>IF(TAREAS!$I$51="Propuesta",IF(AND(R$7&gt;=TAREAS!$G$51,R$7&lt;=TAREAS!$H$51,CALENDARIO!$C$83=1),"P",""),IF(ISNUMBER(SEARCH(TEXT(R$7,"yyyy-mm-dd"),TAREAS!$J$51)),IF(TAREAS!$I$51="Registro Git","R",IF(TAREAS!$I$51="Despliegue documentado","D","L")),""))</f>
        <v/>
      </c>
      <c r="S12" s="15" t="str">
        <f>IF(TAREAS!$I$51="Propuesta",IF(AND(S$7&gt;=TAREAS!$G$51,S$7&lt;=TAREAS!$H$51,CALENDARIO!$C$84=1),"P",""),IF(ISNUMBER(SEARCH(TEXT(S$7,"yyyy-mm-dd"),TAREAS!$J$51)),IF(TAREAS!$I$51="Registro Git","R",IF(TAREAS!$I$51="Despliegue documentado","D","L")),""))</f>
        <v/>
      </c>
      <c r="T12" s="14" t="str">
        <f>IF(TAREAS!$I$51="Propuesta",IF(AND(T$7&gt;=TAREAS!$G$51,T$7&lt;=TAREAS!$H$51,CALENDARIO!$C$85=1),"P",""),IF(ISNUMBER(SEARCH(TEXT(T$7,"yyyy-mm-dd"),TAREAS!$J$51)),IF(TAREAS!$I$51="Registro Git","R",IF(TAREAS!$I$51="Despliegue documentado","D","L")),""))</f>
        <v>P</v>
      </c>
      <c r="U12" s="14" t="str">
        <f>IF(TAREAS!$I$51="Propuesta",IF(AND(U$7&gt;=TAREAS!$G$51,U$7&lt;=TAREAS!$H$51,CALENDARIO!$C$86=1),"P",""),IF(ISNUMBER(SEARCH(TEXT(U$7,"yyyy-mm-dd"),TAREAS!$J$51)),IF(TAREAS!$I$51="Registro Git","R",IF(TAREAS!$I$51="Despliegue documentado","D","L")),""))</f>
        <v>P</v>
      </c>
      <c r="V12" s="14" t="str">
        <f>IF(TAREAS!$I$51="Propuesta",IF(AND(V$7&gt;=TAREAS!$G$51,V$7&lt;=TAREAS!$H$51,CALENDARIO!$C$87=1),"P",""),IF(ISNUMBER(SEARCH(TEXT(V$7,"yyyy-mm-dd"),TAREAS!$J$51)),IF(TAREAS!$I$51="Registro Git","R",IF(TAREAS!$I$51="Despliegue documentado","D","L")),""))</f>
        <v>P</v>
      </c>
      <c r="W12" s="14" t="str">
        <f>IF(TAREAS!$I$51="Propuesta",IF(AND(W$7&gt;=TAREAS!$G$51,W$7&lt;=TAREAS!$H$51,CALENDARIO!$C$88=1),"P",""),IF(ISNUMBER(SEARCH(TEXT(W$7,"yyyy-mm-dd"),TAREAS!$J$51)),IF(TAREAS!$I$51="Registro Git","R",IF(TAREAS!$I$51="Despliegue documentado","D","L")),""))</f>
        <v/>
      </c>
      <c r="X12" s="14" t="str">
        <f>IF(TAREAS!$I$51="Propuesta",IF(AND(X$7&gt;=TAREAS!$G$51,X$7&lt;=TAREAS!$H$51,CALENDARIO!$C$89=1),"P",""),IF(ISNUMBER(SEARCH(TEXT(X$7,"yyyy-mm-dd"),TAREAS!$J$51)),IF(TAREAS!$I$51="Registro Git","R",IF(TAREAS!$I$51="Despliegue documentado","D","L")),""))</f>
        <v/>
      </c>
      <c r="Y12" s="15" t="str">
        <f>IF(TAREAS!$I$51="Propuesta",IF(AND(Y$7&gt;=TAREAS!$G$51,Y$7&lt;=TAREAS!$H$51,CALENDARIO!$C$90=1),"P",""),IF(ISNUMBER(SEARCH(TEXT(Y$7,"yyyy-mm-dd"),TAREAS!$J$51)),IF(TAREAS!$I$51="Registro Git","R",IF(TAREAS!$I$51="Despliegue documentado","D","L")),""))</f>
        <v/>
      </c>
      <c r="Z12" s="15" t="str">
        <f>IF(TAREAS!$I$51="Propuesta",IF(AND(Z$7&gt;=TAREAS!$G$51,Z$7&lt;=TAREAS!$H$51,CALENDARIO!$C$91=1),"P",""),IF(ISNUMBER(SEARCH(TEXT(Z$7,"yyyy-mm-dd"),TAREAS!$J$51)),IF(TAREAS!$I$51="Registro Git","R",IF(TAREAS!$I$51="Despliegue documentado","D","L")),""))</f>
        <v/>
      </c>
      <c r="AA12" s="14" t="str">
        <f>IF(TAREAS!$I$51="Propuesta",IF(AND(AA$7&gt;=TAREAS!$G$51,AA$7&lt;=TAREAS!$H$51,CALENDARIO!$C$92=1),"P",""),IF(ISNUMBER(SEARCH(TEXT(AA$7,"yyyy-mm-dd"),TAREAS!$J$51)),IF(TAREAS!$I$51="Registro Git","R",IF(TAREAS!$I$51="Despliegue documentado","D","L")),""))</f>
        <v/>
      </c>
      <c r="AB12" s="14" t="str">
        <f>IF(TAREAS!$I$51="Propuesta",IF(AND(AB$7&gt;=TAREAS!$G$51,AB$7&lt;=TAREAS!$H$51,CALENDARIO!$C$93=1),"P",""),IF(ISNUMBER(SEARCH(TEXT(AB$7,"yyyy-mm-dd"),TAREAS!$J$51)),IF(TAREAS!$I$51="Registro Git","R",IF(TAREAS!$I$51="Despliegue documentado","D","L")),""))</f>
        <v/>
      </c>
      <c r="AC12" s="14" t="str">
        <f>IF(TAREAS!$I$51="Propuesta",IF(AND(AC$7&gt;=TAREAS!$G$51,AC$7&lt;=TAREAS!$H$51,CALENDARIO!$C$94=1),"P",""),IF(ISNUMBER(SEARCH(TEXT(AC$7,"yyyy-mm-dd"),TAREAS!$J$51)),IF(TAREAS!$I$51="Registro Git","R",IF(TAREAS!$I$51="Despliegue documentado","D","L")),""))</f>
        <v/>
      </c>
      <c r="AD12" s="14" t="str">
        <f>IF(TAREAS!$I$51="Propuesta",IF(AND(AD$7&gt;=TAREAS!$G$51,AD$7&lt;=TAREAS!$H$51,CALENDARIO!$C$95=1),"P",""),IF(ISNUMBER(SEARCH(TEXT(AD$7,"yyyy-mm-dd"),TAREAS!$J$51)),IF(TAREAS!$I$51="Registro Git","R",IF(TAREAS!$I$51="Despliegue documentado","D","L")),""))</f>
        <v/>
      </c>
      <c r="AE12" s="14" t="str">
        <f>IF(TAREAS!$I$51="Propuesta",IF(AND(AE$7&gt;=TAREAS!$G$51,AE$7&lt;=TAREAS!$H$51,CALENDARIO!$C$96=1),"P",""),IF(ISNUMBER(SEARCH(TEXT(AE$7,"yyyy-mm-dd"),TAREAS!$J$51)),IF(TAREAS!$I$51="Registro Git","R",IF(TAREAS!$I$51="Despliegue documentado","D","L")),""))</f>
        <v/>
      </c>
      <c r="AF12" s="15" t="str">
        <f>IF(TAREAS!$I$51="Propuesta",IF(AND(AF$7&gt;=TAREAS!$G$51,AF$7&lt;=TAREAS!$H$51,CALENDARIO!$C$97=1),"P",""),IF(ISNUMBER(SEARCH(TEXT(AF$7,"yyyy-mm-dd"),TAREAS!$J$51)),IF(TAREAS!$I$51="Registro Git","R",IF(TAREAS!$I$51="Despliegue documentado","D","L")),""))</f>
        <v/>
      </c>
      <c r="AG12" s="15" t="str">
        <f>IF(TAREAS!$I$51="Propuesta",IF(AND(AG$7&gt;=TAREAS!$G$51,AG$7&lt;=TAREAS!$H$51,CALENDARIO!$C$98=1),"P",""),IF(ISNUMBER(SEARCH(TEXT(AG$7,"yyyy-mm-dd"),TAREAS!$J$51)),IF(TAREAS!$I$51="Registro Git","R",IF(TAREAS!$I$51="Despliegue documentado","D","L")),""))</f>
        <v/>
      </c>
      <c r="AH12" s="14" t="str">
        <f>IF(TAREAS!$I$51="Propuesta",IF(AND(AH$7&gt;=TAREAS!$G$51,AH$7&lt;=TAREAS!$H$51,CALENDARIO!$C$99=1),"P",""),IF(ISNUMBER(SEARCH(TEXT(AH$7,"yyyy-mm-dd"),TAREAS!$J$51)),IF(TAREAS!$I$51="Registro Git","R",IF(TAREAS!$I$51="Despliegue documentado","D","L")),""))</f>
        <v/>
      </c>
    </row>
    <row r="13" spans="1:34" ht="72" customHeight="1" x14ac:dyDescent="0.25">
      <c r="A13" s="17" t="str">
        <f>TAREAS!C52</f>
        <v>HU-G08 · Como Dirección, quiero consultar reportes y métricas explicables.</v>
      </c>
      <c r="B13" s="12" t="str">
        <f>TAREAS!A52&amp;" · "&amp;TAREAS!D52</f>
        <v>T-048 · Conciliar reportes y ranking con casos de todas las áreas</v>
      </c>
      <c r="C13" s="12" t="str">
        <f>TAREAS!F52</f>
        <v>Sistemas + Dirección</v>
      </c>
      <c r="D13" s="13">
        <f t="shared" si="0"/>
        <v>2</v>
      </c>
      <c r="E13" s="15" t="str">
        <f>IF(TAREAS!$I$52="Propuesta",IF(AND(E$7&gt;=TAREAS!$G$52,E$7&lt;=TAREAS!$H$52,CALENDARIO!$C$70=1),"P",""),IF(ISNUMBER(SEARCH(TEXT(E$7,"yyyy-mm-dd"),TAREAS!$J$52)),IF(TAREAS!$I$52="Registro Git","R",IF(TAREAS!$I$52="Despliegue documentado","D","L")),""))</f>
        <v/>
      </c>
      <c r="F13" s="14" t="str">
        <f>IF(TAREAS!$I$52="Propuesta",IF(AND(F$7&gt;=TAREAS!$G$52,F$7&lt;=TAREAS!$H$52,CALENDARIO!$C$71=1),"P",""),IF(ISNUMBER(SEARCH(TEXT(F$7,"yyyy-mm-dd"),TAREAS!$J$52)),IF(TAREAS!$I$52="Registro Git","R",IF(TAREAS!$I$52="Despliegue documentado","D","L")),""))</f>
        <v/>
      </c>
      <c r="G13" s="14" t="str">
        <f>IF(TAREAS!$I$52="Propuesta",IF(AND(G$7&gt;=TAREAS!$G$52,G$7&lt;=TAREAS!$H$52,CALENDARIO!$C$72=1),"P",""),IF(ISNUMBER(SEARCH(TEXT(G$7,"yyyy-mm-dd"),TAREAS!$J$52)),IF(TAREAS!$I$52="Registro Git","R",IF(TAREAS!$I$52="Despliegue documentado","D","L")),""))</f>
        <v/>
      </c>
      <c r="H13" s="14" t="str">
        <f>IF(TAREAS!$I$52="Propuesta",IF(AND(H$7&gt;=TAREAS!$G$52,H$7&lt;=TAREAS!$H$52,CALENDARIO!$C$73=1),"P",""),IF(ISNUMBER(SEARCH(TEXT(H$7,"yyyy-mm-dd"),TAREAS!$J$52)),IF(TAREAS!$I$52="Registro Git","R",IF(TAREAS!$I$52="Despliegue documentado","D","L")),""))</f>
        <v/>
      </c>
      <c r="I13" s="14" t="str">
        <f>IF(TAREAS!$I$52="Propuesta",IF(AND(I$7&gt;=TAREAS!$G$52,I$7&lt;=TAREAS!$H$52,CALENDARIO!$C$74=1),"P",""),IF(ISNUMBER(SEARCH(TEXT(I$7,"yyyy-mm-dd"),TAREAS!$J$52)),IF(TAREAS!$I$52="Registro Git","R",IF(TAREAS!$I$52="Despliegue documentado","D","L")),""))</f>
        <v/>
      </c>
      <c r="J13" s="14" t="str">
        <f>IF(TAREAS!$I$52="Propuesta",IF(AND(J$7&gt;=TAREAS!$G$52,J$7&lt;=TAREAS!$H$52,CALENDARIO!$C$75=1),"P",""),IF(ISNUMBER(SEARCH(TEXT(J$7,"yyyy-mm-dd"),TAREAS!$J$52)),IF(TAREAS!$I$52="Registro Git","R",IF(TAREAS!$I$52="Despliegue documentado","D","L")),""))</f>
        <v/>
      </c>
      <c r="K13" s="15" t="str">
        <f>IF(TAREAS!$I$52="Propuesta",IF(AND(K$7&gt;=TAREAS!$G$52,K$7&lt;=TAREAS!$H$52,CALENDARIO!$C$76=1),"P",""),IF(ISNUMBER(SEARCH(TEXT(K$7,"yyyy-mm-dd"),TAREAS!$J$52)),IF(TAREAS!$I$52="Registro Git","R",IF(TAREAS!$I$52="Despliegue documentado","D","L")),""))</f>
        <v/>
      </c>
      <c r="L13" s="15" t="str">
        <f>IF(TAREAS!$I$52="Propuesta",IF(AND(L$7&gt;=TAREAS!$G$52,L$7&lt;=TAREAS!$H$52,CALENDARIO!$C$77=1),"P",""),IF(ISNUMBER(SEARCH(TEXT(L$7,"yyyy-mm-dd"),TAREAS!$J$52)),IF(TAREAS!$I$52="Registro Git","R",IF(TAREAS!$I$52="Despliegue documentado","D","L")),""))</f>
        <v/>
      </c>
      <c r="M13" s="14" t="str">
        <f>IF(TAREAS!$I$52="Propuesta",IF(AND(M$7&gt;=TAREAS!$G$52,M$7&lt;=TAREAS!$H$52,CALENDARIO!$C$78=1),"P",""),IF(ISNUMBER(SEARCH(TEXT(M$7,"yyyy-mm-dd"),TAREAS!$J$52)),IF(TAREAS!$I$52="Registro Git","R",IF(TAREAS!$I$52="Despliegue documentado","D","L")),""))</f>
        <v/>
      </c>
      <c r="N13" s="14" t="str">
        <f>IF(TAREAS!$I$52="Propuesta",IF(AND(N$7&gt;=TAREAS!$G$52,N$7&lt;=TAREAS!$H$52,CALENDARIO!$C$79=1),"P",""),IF(ISNUMBER(SEARCH(TEXT(N$7,"yyyy-mm-dd"),TAREAS!$J$52)),IF(TAREAS!$I$52="Registro Git","R",IF(TAREAS!$I$52="Despliegue documentado","D","L")),""))</f>
        <v/>
      </c>
      <c r="O13" s="14" t="str">
        <f>IF(TAREAS!$I$52="Propuesta",IF(AND(O$7&gt;=TAREAS!$G$52,O$7&lt;=TAREAS!$H$52,CALENDARIO!$C$80=1),"P",""),IF(ISNUMBER(SEARCH(TEXT(O$7,"yyyy-mm-dd"),TAREAS!$J$52)),IF(TAREAS!$I$52="Registro Git","R",IF(TAREAS!$I$52="Despliegue documentado","D","L")),""))</f>
        <v/>
      </c>
      <c r="P13" s="14" t="str">
        <f>IF(TAREAS!$I$52="Propuesta",IF(AND(P$7&gt;=TAREAS!$G$52,P$7&lt;=TAREAS!$H$52,CALENDARIO!$C$81=1),"P",""),IF(ISNUMBER(SEARCH(TEXT(P$7,"yyyy-mm-dd"),TAREAS!$J$52)),IF(TAREAS!$I$52="Registro Git","R",IF(TAREAS!$I$52="Despliegue documentado","D","L")),""))</f>
        <v/>
      </c>
      <c r="Q13" s="14" t="str">
        <f>IF(TAREAS!$I$52="Propuesta",IF(AND(Q$7&gt;=TAREAS!$G$52,Q$7&lt;=TAREAS!$H$52,CALENDARIO!$C$82=1),"P",""),IF(ISNUMBER(SEARCH(TEXT(Q$7,"yyyy-mm-dd"),TAREAS!$J$52)),IF(TAREAS!$I$52="Registro Git","R",IF(TAREAS!$I$52="Despliegue documentado","D","L")),""))</f>
        <v/>
      </c>
      <c r="R13" s="15" t="str">
        <f>IF(TAREAS!$I$52="Propuesta",IF(AND(R$7&gt;=TAREAS!$G$52,R$7&lt;=TAREAS!$H$52,CALENDARIO!$C$83=1),"P",""),IF(ISNUMBER(SEARCH(TEXT(R$7,"yyyy-mm-dd"),TAREAS!$J$52)),IF(TAREAS!$I$52="Registro Git","R",IF(TAREAS!$I$52="Despliegue documentado","D","L")),""))</f>
        <v/>
      </c>
      <c r="S13" s="15" t="str">
        <f>IF(TAREAS!$I$52="Propuesta",IF(AND(S$7&gt;=TAREAS!$G$52,S$7&lt;=TAREAS!$H$52,CALENDARIO!$C$84=1),"P",""),IF(ISNUMBER(SEARCH(TEXT(S$7,"yyyy-mm-dd"),TAREAS!$J$52)),IF(TAREAS!$I$52="Registro Git","R",IF(TAREAS!$I$52="Despliegue documentado","D","L")),""))</f>
        <v/>
      </c>
      <c r="T13" s="14" t="str">
        <f>IF(TAREAS!$I$52="Propuesta",IF(AND(T$7&gt;=TAREAS!$G$52,T$7&lt;=TAREAS!$H$52,CALENDARIO!$C$85=1),"P",""),IF(ISNUMBER(SEARCH(TEXT(T$7,"yyyy-mm-dd"),TAREAS!$J$52)),IF(TAREAS!$I$52="Registro Git","R",IF(TAREAS!$I$52="Despliegue documentado","D","L")),""))</f>
        <v/>
      </c>
      <c r="U13" s="14" t="str">
        <f>IF(TAREAS!$I$52="Propuesta",IF(AND(U$7&gt;=TAREAS!$G$52,U$7&lt;=TAREAS!$H$52,CALENDARIO!$C$86=1),"P",""),IF(ISNUMBER(SEARCH(TEXT(U$7,"yyyy-mm-dd"),TAREAS!$J$52)),IF(TAREAS!$I$52="Registro Git","R",IF(TAREAS!$I$52="Despliegue documentado","D","L")),""))</f>
        <v/>
      </c>
      <c r="V13" s="14" t="str">
        <f>IF(TAREAS!$I$52="Propuesta",IF(AND(V$7&gt;=TAREAS!$G$52,V$7&lt;=TAREAS!$H$52,CALENDARIO!$C$87=1),"P",""),IF(ISNUMBER(SEARCH(TEXT(V$7,"yyyy-mm-dd"),TAREAS!$J$52)),IF(TAREAS!$I$52="Registro Git","R",IF(TAREAS!$I$52="Despliegue documentado","D","L")),""))</f>
        <v/>
      </c>
      <c r="W13" s="14" t="str">
        <f>IF(TAREAS!$I$52="Propuesta",IF(AND(W$7&gt;=TAREAS!$G$52,W$7&lt;=TAREAS!$H$52,CALENDARIO!$C$88=1),"P",""),IF(ISNUMBER(SEARCH(TEXT(W$7,"yyyy-mm-dd"),TAREAS!$J$52)),IF(TAREAS!$I$52="Registro Git","R",IF(TAREAS!$I$52="Despliegue documentado","D","L")),""))</f>
        <v>P</v>
      </c>
      <c r="X13" s="14" t="str">
        <f>IF(TAREAS!$I$52="Propuesta",IF(AND(X$7&gt;=TAREAS!$G$52,X$7&lt;=TAREAS!$H$52,CALENDARIO!$C$89=1),"P",""),IF(ISNUMBER(SEARCH(TEXT(X$7,"yyyy-mm-dd"),TAREAS!$J$52)),IF(TAREAS!$I$52="Registro Git","R",IF(TAREAS!$I$52="Despliegue documentado","D","L")),""))</f>
        <v>P</v>
      </c>
      <c r="Y13" s="15" t="str">
        <f>IF(TAREAS!$I$52="Propuesta",IF(AND(Y$7&gt;=TAREAS!$G$52,Y$7&lt;=TAREAS!$H$52,CALENDARIO!$C$90=1),"P",""),IF(ISNUMBER(SEARCH(TEXT(Y$7,"yyyy-mm-dd"),TAREAS!$J$52)),IF(TAREAS!$I$52="Registro Git","R",IF(TAREAS!$I$52="Despliegue documentado","D","L")),""))</f>
        <v/>
      </c>
      <c r="Z13" s="15" t="str">
        <f>IF(TAREAS!$I$52="Propuesta",IF(AND(Z$7&gt;=TAREAS!$G$52,Z$7&lt;=TAREAS!$H$52,CALENDARIO!$C$91=1),"P",""),IF(ISNUMBER(SEARCH(TEXT(Z$7,"yyyy-mm-dd"),TAREAS!$J$52)),IF(TAREAS!$I$52="Registro Git","R",IF(TAREAS!$I$52="Despliegue documentado","D","L")),""))</f>
        <v/>
      </c>
      <c r="AA13" s="14" t="str">
        <f>IF(TAREAS!$I$52="Propuesta",IF(AND(AA$7&gt;=TAREAS!$G$52,AA$7&lt;=TAREAS!$H$52,CALENDARIO!$C$92=1),"P",""),IF(ISNUMBER(SEARCH(TEXT(AA$7,"yyyy-mm-dd"),TAREAS!$J$52)),IF(TAREAS!$I$52="Registro Git","R",IF(TAREAS!$I$52="Despliegue documentado","D","L")),""))</f>
        <v/>
      </c>
      <c r="AB13" s="14" t="str">
        <f>IF(TAREAS!$I$52="Propuesta",IF(AND(AB$7&gt;=TAREAS!$G$52,AB$7&lt;=TAREAS!$H$52,CALENDARIO!$C$93=1),"P",""),IF(ISNUMBER(SEARCH(TEXT(AB$7,"yyyy-mm-dd"),TAREAS!$J$52)),IF(TAREAS!$I$52="Registro Git","R",IF(TAREAS!$I$52="Despliegue documentado","D","L")),""))</f>
        <v/>
      </c>
      <c r="AC13" s="14" t="str">
        <f>IF(TAREAS!$I$52="Propuesta",IF(AND(AC$7&gt;=TAREAS!$G$52,AC$7&lt;=TAREAS!$H$52,CALENDARIO!$C$94=1),"P",""),IF(ISNUMBER(SEARCH(TEXT(AC$7,"yyyy-mm-dd"),TAREAS!$J$52)),IF(TAREAS!$I$52="Registro Git","R",IF(TAREAS!$I$52="Despliegue documentado","D","L")),""))</f>
        <v/>
      </c>
      <c r="AD13" s="14" t="str">
        <f>IF(TAREAS!$I$52="Propuesta",IF(AND(AD$7&gt;=TAREAS!$G$52,AD$7&lt;=TAREAS!$H$52,CALENDARIO!$C$95=1),"P",""),IF(ISNUMBER(SEARCH(TEXT(AD$7,"yyyy-mm-dd"),TAREAS!$J$52)),IF(TAREAS!$I$52="Registro Git","R",IF(TAREAS!$I$52="Despliegue documentado","D","L")),""))</f>
        <v/>
      </c>
      <c r="AE13" s="14" t="str">
        <f>IF(TAREAS!$I$52="Propuesta",IF(AND(AE$7&gt;=TAREAS!$G$52,AE$7&lt;=TAREAS!$H$52,CALENDARIO!$C$96=1),"P",""),IF(ISNUMBER(SEARCH(TEXT(AE$7,"yyyy-mm-dd"),TAREAS!$J$52)),IF(TAREAS!$I$52="Registro Git","R",IF(TAREAS!$I$52="Despliegue documentado","D","L")),""))</f>
        <v/>
      </c>
      <c r="AF13" s="15" t="str">
        <f>IF(TAREAS!$I$52="Propuesta",IF(AND(AF$7&gt;=TAREAS!$G$52,AF$7&lt;=TAREAS!$H$52,CALENDARIO!$C$97=1),"P",""),IF(ISNUMBER(SEARCH(TEXT(AF$7,"yyyy-mm-dd"),TAREAS!$J$52)),IF(TAREAS!$I$52="Registro Git","R",IF(TAREAS!$I$52="Despliegue documentado","D","L")),""))</f>
        <v/>
      </c>
      <c r="AG13" s="15" t="str">
        <f>IF(TAREAS!$I$52="Propuesta",IF(AND(AG$7&gt;=TAREAS!$G$52,AG$7&lt;=TAREAS!$H$52,CALENDARIO!$C$98=1),"P",""),IF(ISNUMBER(SEARCH(TEXT(AG$7,"yyyy-mm-dd"),TAREAS!$J$52)),IF(TAREAS!$I$52="Registro Git","R",IF(TAREAS!$I$52="Despliegue documentado","D","L")),""))</f>
        <v/>
      </c>
      <c r="AH13" s="14" t="str">
        <f>IF(TAREAS!$I$52="Propuesta",IF(AND(AH$7&gt;=TAREAS!$G$52,AH$7&lt;=TAREAS!$H$52,CALENDARIO!$C$99=1),"P",""),IF(ISNUMBER(SEARCH(TEXT(AH$7,"yyyy-mm-dd"),TAREAS!$J$52)),IF(TAREAS!$I$52="Registro Git","R",IF(TAREAS!$I$52="Despliegue documentado","D","L")),""))</f>
        <v/>
      </c>
    </row>
    <row r="14" spans="1:34" ht="72" customHeight="1" x14ac:dyDescent="0.25">
      <c r="A14" s="20" t="str">
        <f>TAREAS!C53</f>
        <v>HU-G06 · Como usuario, quiero comunicarme con mi equipo y consultar avisos.</v>
      </c>
      <c r="B14" s="12" t="str">
        <f>TAREAS!A53&amp;" · "&amp;TAREAS!D53</f>
        <v>T-049 · Validar chat y notificaciones con cuentas de prueba</v>
      </c>
      <c r="C14" s="12" t="str">
        <f>TAREAS!F53</f>
        <v>Sistemas + responsables</v>
      </c>
      <c r="D14" s="13">
        <f t="shared" si="0"/>
        <v>2</v>
      </c>
      <c r="E14" s="15" t="str">
        <f>IF(TAREAS!$I$53="Propuesta",IF(AND(E$7&gt;=TAREAS!$G$53,E$7&lt;=TAREAS!$H$53,CALENDARIO!$C$70=1),"P",""),IF(ISNUMBER(SEARCH(TEXT(E$7,"yyyy-mm-dd"),TAREAS!$J$53)),IF(TAREAS!$I$53="Registro Git","R",IF(TAREAS!$I$53="Despliegue documentado","D","L")),""))</f>
        <v/>
      </c>
      <c r="F14" s="14" t="str">
        <f>IF(TAREAS!$I$53="Propuesta",IF(AND(F$7&gt;=TAREAS!$G$53,F$7&lt;=TAREAS!$H$53,CALENDARIO!$C$71=1),"P",""),IF(ISNUMBER(SEARCH(TEXT(F$7,"yyyy-mm-dd"),TAREAS!$J$53)),IF(TAREAS!$I$53="Registro Git","R",IF(TAREAS!$I$53="Despliegue documentado","D","L")),""))</f>
        <v/>
      </c>
      <c r="G14" s="14" t="str">
        <f>IF(TAREAS!$I$53="Propuesta",IF(AND(G$7&gt;=TAREAS!$G$53,G$7&lt;=TAREAS!$H$53,CALENDARIO!$C$72=1),"P",""),IF(ISNUMBER(SEARCH(TEXT(G$7,"yyyy-mm-dd"),TAREAS!$J$53)),IF(TAREAS!$I$53="Registro Git","R",IF(TAREAS!$I$53="Despliegue documentado","D","L")),""))</f>
        <v/>
      </c>
      <c r="H14" s="14" t="str">
        <f>IF(TAREAS!$I$53="Propuesta",IF(AND(H$7&gt;=TAREAS!$G$53,H$7&lt;=TAREAS!$H$53,CALENDARIO!$C$73=1),"P",""),IF(ISNUMBER(SEARCH(TEXT(H$7,"yyyy-mm-dd"),TAREAS!$J$53)),IF(TAREAS!$I$53="Registro Git","R",IF(TAREAS!$I$53="Despliegue documentado","D","L")),""))</f>
        <v/>
      </c>
      <c r="I14" s="14" t="str">
        <f>IF(TAREAS!$I$53="Propuesta",IF(AND(I$7&gt;=TAREAS!$G$53,I$7&lt;=TAREAS!$H$53,CALENDARIO!$C$74=1),"P",""),IF(ISNUMBER(SEARCH(TEXT(I$7,"yyyy-mm-dd"),TAREAS!$J$53)),IF(TAREAS!$I$53="Registro Git","R",IF(TAREAS!$I$53="Despliegue documentado","D","L")),""))</f>
        <v/>
      </c>
      <c r="J14" s="14" t="str">
        <f>IF(TAREAS!$I$53="Propuesta",IF(AND(J$7&gt;=TAREAS!$G$53,J$7&lt;=TAREAS!$H$53,CALENDARIO!$C$75=1),"P",""),IF(ISNUMBER(SEARCH(TEXT(J$7,"yyyy-mm-dd"),TAREAS!$J$53)),IF(TAREAS!$I$53="Registro Git","R",IF(TAREAS!$I$53="Despliegue documentado","D","L")),""))</f>
        <v/>
      </c>
      <c r="K14" s="15" t="str">
        <f>IF(TAREAS!$I$53="Propuesta",IF(AND(K$7&gt;=TAREAS!$G$53,K$7&lt;=TAREAS!$H$53,CALENDARIO!$C$76=1),"P",""),IF(ISNUMBER(SEARCH(TEXT(K$7,"yyyy-mm-dd"),TAREAS!$J$53)),IF(TAREAS!$I$53="Registro Git","R",IF(TAREAS!$I$53="Despliegue documentado","D","L")),""))</f>
        <v/>
      </c>
      <c r="L14" s="15" t="str">
        <f>IF(TAREAS!$I$53="Propuesta",IF(AND(L$7&gt;=TAREAS!$G$53,L$7&lt;=TAREAS!$H$53,CALENDARIO!$C$77=1),"P",""),IF(ISNUMBER(SEARCH(TEXT(L$7,"yyyy-mm-dd"),TAREAS!$J$53)),IF(TAREAS!$I$53="Registro Git","R",IF(TAREAS!$I$53="Despliegue documentado","D","L")),""))</f>
        <v/>
      </c>
      <c r="M14" s="14" t="str">
        <f>IF(TAREAS!$I$53="Propuesta",IF(AND(M$7&gt;=TAREAS!$G$53,M$7&lt;=TAREAS!$H$53,CALENDARIO!$C$78=1),"P",""),IF(ISNUMBER(SEARCH(TEXT(M$7,"yyyy-mm-dd"),TAREAS!$J$53)),IF(TAREAS!$I$53="Registro Git","R",IF(TAREAS!$I$53="Despliegue documentado","D","L")),""))</f>
        <v/>
      </c>
      <c r="N14" s="14" t="str">
        <f>IF(TAREAS!$I$53="Propuesta",IF(AND(N$7&gt;=TAREAS!$G$53,N$7&lt;=TAREAS!$H$53,CALENDARIO!$C$79=1),"P",""),IF(ISNUMBER(SEARCH(TEXT(N$7,"yyyy-mm-dd"),TAREAS!$J$53)),IF(TAREAS!$I$53="Registro Git","R",IF(TAREAS!$I$53="Despliegue documentado","D","L")),""))</f>
        <v/>
      </c>
      <c r="O14" s="14" t="str">
        <f>IF(TAREAS!$I$53="Propuesta",IF(AND(O$7&gt;=TAREAS!$G$53,O$7&lt;=TAREAS!$H$53,CALENDARIO!$C$80=1),"P",""),IF(ISNUMBER(SEARCH(TEXT(O$7,"yyyy-mm-dd"),TAREAS!$J$53)),IF(TAREAS!$I$53="Registro Git","R",IF(TAREAS!$I$53="Despliegue documentado","D","L")),""))</f>
        <v/>
      </c>
      <c r="P14" s="14" t="str">
        <f>IF(TAREAS!$I$53="Propuesta",IF(AND(P$7&gt;=TAREAS!$G$53,P$7&lt;=TAREAS!$H$53,CALENDARIO!$C$81=1),"P",""),IF(ISNUMBER(SEARCH(TEXT(P$7,"yyyy-mm-dd"),TAREAS!$J$53)),IF(TAREAS!$I$53="Registro Git","R",IF(TAREAS!$I$53="Despliegue documentado","D","L")),""))</f>
        <v/>
      </c>
      <c r="Q14" s="14" t="str">
        <f>IF(TAREAS!$I$53="Propuesta",IF(AND(Q$7&gt;=TAREAS!$G$53,Q$7&lt;=TAREAS!$H$53,CALENDARIO!$C$82=1),"P",""),IF(ISNUMBER(SEARCH(TEXT(Q$7,"yyyy-mm-dd"),TAREAS!$J$53)),IF(TAREAS!$I$53="Registro Git","R",IF(TAREAS!$I$53="Despliegue documentado","D","L")),""))</f>
        <v/>
      </c>
      <c r="R14" s="15" t="str">
        <f>IF(TAREAS!$I$53="Propuesta",IF(AND(R$7&gt;=TAREAS!$G$53,R$7&lt;=TAREAS!$H$53,CALENDARIO!$C$83=1),"P",""),IF(ISNUMBER(SEARCH(TEXT(R$7,"yyyy-mm-dd"),TAREAS!$J$53)),IF(TAREAS!$I$53="Registro Git","R",IF(TAREAS!$I$53="Despliegue documentado","D","L")),""))</f>
        <v/>
      </c>
      <c r="S14" s="15" t="str">
        <f>IF(TAREAS!$I$53="Propuesta",IF(AND(S$7&gt;=TAREAS!$G$53,S$7&lt;=TAREAS!$H$53,CALENDARIO!$C$84=1),"P",""),IF(ISNUMBER(SEARCH(TEXT(S$7,"yyyy-mm-dd"),TAREAS!$J$53)),IF(TAREAS!$I$53="Registro Git","R",IF(TAREAS!$I$53="Despliegue documentado","D","L")),""))</f>
        <v/>
      </c>
      <c r="T14" s="14" t="str">
        <f>IF(TAREAS!$I$53="Propuesta",IF(AND(T$7&gt;=TAREAS!$G$53,T$7&lt;=TAREAS!$H$53,CALENDARIO!$C$85=1),"P",""),IF(ISNUMBER(SEARCH(TEXT(T$7,"yyyy-mm-dd"),TAREAS!$J$53)),IF(TAREAS!$I$53="Registro Git","R",IF(TAREAS!$I$53="Despliegue documentado","D","L")),""))</f>
        <v/>
      </c>
      <c r="U14" s="14" t="str">
        <f>IF(TAREAS!$I$53="Propuesta",IF(AND(U$7&gt;=TAREAS!$G$53,U$7&lt;=TAREAS!$H$53,CALENDARIO!$C$86=1),"P",""),IF(ISNUMBER(SEARCH(TEXT(U$7,"yyyy-mm-dd"),TAREAS!$J$53)),IF(TAREAS!$I$53="Registro Git","R",IF(TAREAS!$I$53="Despliegue documentado","D","L")),""))</f>
        <v/>
      </c>
      <c r="V14" s="14" t="str">
        <f>IF(TAREAS!$I$53="Propuesta",IF(AND(V$7&gt;=TAREAS!$G$53,V$7&lt;=TAREAS!$H$53,CALENDARIO!$C$87=1),"P",""),IF(ISNUMBER(SEARCH(TEXT(V$7,"yyyy-mm-dd"),TAREAS!$J$53)),IF(TAREAS!$I$53="Registro Git","R",IF(TAREAS!$I$53="Despliegue documentado","D","L")),""))</f>
        <v/>
      </c>
      <c r="W14" s="14" t="str">
        <f>IF(TAREAS!$I$53="Propuesta",IF(AND(W$7&gt;=TAREAS!$G$53,W$7&lt;=TAREAS!$H$53,CALENDARIO!$C$88=1),"P",""),IF(ISNUMBER(SEARCH(TEXT(W$7,"yyyy-mm-dd"),TAREAS!$J$53)),IF(TAREAS!$I$53="Registro Git","R",IF(TAREAS!$I$53="Despliegue documentado","D","L")),""))</f>
        <v/>
      </c>
      <c r="X14" s="14" t="str">
        <f>IF(TAREAS!$I$53="Propuesta",IF(AND(X$7&gt;=TAREAS!$G$53,X$7&lt;=TAREAS!$H$53,CALENDARIO!$C$89=1),"P",""),IF(ISNUMBER(SEARCH(TEXT(X$7,"yyyy-mm-dd"),TAREAS!$J$53)),IF(TAREAS!$I$53="Registro Git","R",IF(TAREAS!$I$53="Despliegue documentado","D","L")),""))</f>
        <v/>
      </c>
      <c r="Y14" s="15" t="str">
        <f>IF(TAREAS!$I$53="Propuesta",IF(AND(Y$7&gt;=TAREAS!$G$53,Y$7&lt;=TAREAS!$H$53,CALENDARIO!$C$90=1),"P",""),IF(ISNUMBER(SEARCH(TEXT(Y$7,"yyyy-mm-dd"),TAREAS!$J$53)),IF(TAREAS!$I$53="Registro Git","R",IF(TAREAS!$I$53="Despliegue documentado","D","L")),""))</f>
        <v/>
      </c>
      <c r="Z14" s="15" t="str">
        <f>IF(TAREAS!$I$53="Propuesta",IF(AND(Z$7&gt;=TAREAS!$G$53,Z$7&lt;=TAREAS!$H$53,CALENDARIO!$C$91=1),"P",""),IF(ISNUMBER(SEARCH(TEXT(Z$7,"yyyy-mm-dd"),TAREAS!$J$53)),IF(TAREAS!$I$53="Registro Git","R",IF(TAREAS!$I$53="Despliegue documentado","D","L")),""))</f>
        <v/>
      </c>
      <c r="AA14" s="14" t="str">
        <f>IF(TAREAS!$I$53="Propuesta",IF(AND(AA$7&gt;=TAREAS!$G$53,AA$7&lt;=TAREAS!$H$53,CALENDARIO!$C$92=1),"P",""),IF(ISNUMBER(SEARCH(TEXT(AA$7,"yyyy-mm-dd"),TAREAS!$J$53)),IF(TAREAS!$I$53="Registro Git","R",IF(TAREAS!$I$53="Despliegue documentado","D","L")),""))</f>
        <v>P</v>
      </c>
      <c r="AB14" s="14" t="str">
        <f>IF(TAREAS!$I$53="Propuesta",IF(AND(AB$7&gt;=TAREAS!$G$53,AB$7&lt;=TAREAS!$H$53,CALENDARIO!$C$93=1),"P",""),IF(ISNUMBER(SEARCH(TEXT(AB$7,"yyyy-mm-dd"),TAREAS!$J$53)),IF(TAREAS!$I$53="Registro Git","R",IF(TAREAS!$I$53="Despliegue documentado","D","L")),""))</f>
        <v>P</v>
      </c>
      <c r="AC14" s="14" t="str">
        <f>IF(TAREAS!$I$53="Propuesta",IF(AND(AC$7&gt;=TAREAS!$G$53,AC$7&lt;=TAREAS!$H$53,CALENDARIO!$C$94=1),"P",""),IF(ISNUMBER(SEARCH(TEXT(AC$7,"yyyy-mm-dd"),TAREAS!$J$53)),IF(TAREAS!$I$53="Registro Git","R",IF(TAREAS!$I$53="Despliegue documentado","D","L")),""))</f>
        <v/>
      </c>
      <c r="AD14" s="14" t="str">
        <f>IF(TAREAS!$I$53="Propuesta",IF(AND(AD$7&gt;=TAREAS!$G$53,AD$7&lt;=TAREAS!$H$53,CALENDARIO!$C$95=1),"P",""),IF(ISNUMBER(SEARCH(TEXT(AD$7,"yyyy-mm-dd"),TAREAS!$J$53)),IF(TAREAS!$I$53="Registro Git","R",IF(TAREAS!$I$53="Despliegue documentado","D","L")),""))</f>
        <v/>
      </c>
      <c r="AE14" s="14" t="str">
        <f>IF(TAREAS!$I$53="Propuesta",IF(AND(AE$7&gt;=TAREAS!$G$53,AE$7&lt;=TAREAS!$H$53,CALENDARIO!$C$96=1),"P",""),IF(ISNUMBER(SEARCH(TEXT(AE$7,"yyyy-mm-dd"),TAREAS!$J$53)),IF(TAREAS!$I$53="Registro Git","R",IF(TAREAS!$I$53="Despliegue documentado","D","L")),""))</f>
        <v/>
      </c>
      <c r="AF14" s="15" t="str">
        <f>IF(TAREAS!$I$53="Propuesta",IF(AND(AF$7&gt;=TAREAS!$G$53,AF$7&lt;=TAREAS!$H$53,CALENDARIO!$C$97=1),"P",""),IF(ISNUMBER(SEARCH(TEXT(AF$7,"yyyy-mm-dd"),TAREAS!$J$53)),IF(TAREAS!$I$53="Registro Git","R",IF(TAREAS!$I$53="Despliegue documentado","D","L")),""))</f>
        <v/>
      </c>
      <c r="AG14" s="15" t="str">
        <f>IF(TAREAS!$I$53="Propuesta",IF(AND(AG$7&gt;=TAREAS!$G$53,AG$7&lt;=TAREAS!$H$53,CALENDARIO!$C$98=1),"P",""),IF(ISNUMBER(SEARCH(TEXT(AG$7,"yyyy-mm-dd"),TAREAS!$J$53)),IF(TAREAS!$I$53="Registro Git","R",IF(TAREAS!$I$53="Despliegue documentado","D","L")),""))</f>
        <v/>
      </c>
      <c r="AH14" s="14" t="str">
        <f>IF(TAREAS!$I$53="Propuesta",IF(AND(AH$7&gt;=TAREAS!$G$53,AH$7&lt;=TAREAS!$H$53,CALENDARIO!$C$99=1),"P",""),IF(ISNUMBER(SEARCH(TEXT(AH$7,"yyyy-mm-dd"),TAREAS!$J$53)),IF(TAREAS!$I$53="Registro Git","R",IF(TAREAS!$I$53="Despliegue documentado","D","L")),""))</f>
        <v/>
      </c>
    </row>
    <row r="15" spans="1:34" ht="72" customHeight="1" x14ac:dyDescent="0.25">
      <c r="A15" s="11" t="str">
        <f>TAREAS!C54</f>
        <v>HU-G07 · Como Marketing, quiero revisar y preparar publicaciones autorizadas.</v>
      </c>
      <c r="B15" s="12" t="str">
        <f>TAREAS!A54&amp;" · "&amp;TAREAS!D54</f>
        <v>T-050 · Validar Marketing en entorno de ensayo autorizado</v>
      </c>
      <c r="C15" s="12" t="str">
        <f>TAREAS!F54</f>
        <v>Sistemas + Marketing</v>
      </c>
      <c r="D15" s="13">
        <f t="shared" si="0"/>
        <v>3</v>
      </c>
      <c r="E15" s="15" t="str">
        <f>IF(TAREAS!$I$54="Propuesta",IF(AND(E$7&gt;=TAREAS!$G$54,E$7&lt;=TAREAS!$H$54,CALENDARIO!$C$70=1),"P",""),IF(ISNUMBER(SEARCH(TEXT(E$7,"yyyy-mm-dd"),TAREAS!$J$54)),IF(TAREAS!$I$54="Registro Git","R",IF(TAREAS!$I$54="Despliegue documentado","D","L")),""))</f>
        <v/>
      </c>
      <c r="F15" s="14" t="str">
        <f>IF(TAREAS!$I$54="Propuesta",IF(AND(F$7&gt;=TAREAS!$G$54,F$7&lt;=TAREAS!$H$54,CALENDARIO!$C$71=1),"P",""),IF(ISNUMBER(SEARCH(TEXT(F$7,"yyyy-mm-dd"),TAREAS!$J$54)),IF(TAREAS!$I$54="Registro Git","R",IF(TAREAS!$I$54="Despliegue documentado","D","L")),""))</f>
        <v/>
      </c>
      <c r="G15" s="14" t="str">
        <f>IF(TAREAS!$I$54="Propuesta",IF(AND(G$7&gt;=TAREAS!$G$54,G$7&lt;=TAREAS!$H$54,CALENDARIO!$C$72=1),"P",""),IF(ISNUMBER(SEARCH(TEXT(G$7,"yyyy-mm-dd"),TAREAS!$J$54)),IF(TAREAS!$I$54="Registro Git","R",IF(TAREAS!$I$54="Despliegue documentado","D","L")),""))</f>
        <v/>
      </c>
      <c r="H15" s="14" t="str">
        <f>IF(TAREAS!$I$54="Propuesta",IF(AND(H$7&gt;=TAREAS!$G$54,H$7&lt;=TAREAS!$H$54,CALENDARIO!$C$73=1),"P",""),IF(ISNUMBER(SEARCH(TEXT(H$7,"yyyy-mm-dd"),TAREAS!$J$54)),IF(TAREAS!$I$54="Registro Git","R",IF(TAREAS!$I$54="Despliegue documentado","D","L")),""))</f>
        <v/>
      </c>
      <c r="I15" s="14" t="str">
        <f>IF(TAREAS!$I$54="Propuesta",IF(AND(I$7&gt;=TAREAS!$G$54,I$7&lt;=TAREAS!$H$54,CALENDARIO!$C$74=1),"P",""),IF(ISNUMBER(SEARCH(TEXT(I$7,"yyyy-mm-dd"),TAREAS!$J$54)),IF(TAREAS!$I$54="Registro Git","R",IF(TAREAS!$I$54="Despliegue documentado","D","L")),""))</f>
        <v/>
      </c>
      <c r="J15" s="14" t="str">
        <f>IF(TAREAS!$I$54="Propuesta",IF(AND(J$7&gt;=TAREAS!$G$54,J$7&lt;=TAREAS!$H$54,CALENDARIO!$C$75=1),"P",""),IF(ISNUMBER(SEARCH(TEXT(J$7,"yyyy-mm-dd"),TAREAS!$J$54)),IF(TAREAS!$I$54="Registro Git","R",IF(TAREAS!$I$54="Despliegue documentado","D","L")),""))</f>
        <v/>
      </c>
      <c r="K15" s="15" t="str">
        <f>IF(TAREAS!$I$54="Propuesta",IF(AND(K$7&gt;=TAREAS!$G$54,K$7&lt;=TAREAS!$H$54,CALENDARIO!$C$76=1),"P",""),IF(ISNUMBER(SEARCH(TEXT(K$7,"yyyy-mm-dd"),TAREAS!$J$54)),IF(TAREAS!$I$54="Registro Git","R",IF(TAREAS!$I$54="Despliegue documentado","D","L")),""))</f>
        <v/>
      </c>
      <c r="L15" s="15" t="str">
        <f>IF(TAREAS!$I$54="Propuesta",IF(AND(L$7&gt;=TAREAS!$G$54,L$7&lt;=TAREAS!$H$54,CALENDARIO!$C$77=1),"P",""),IF(ISNUMBER(SEARCH(TEXT(L$7,"yyyy-mm-dd"),TAREAS!$J$54)),IF(TAREAS!$I$54="Registro Git","R",IF(TAREAS!$I$54="Despliegue documentado","D","L")),""))</f>
        <v/>
      </c>
      <c r="M15" s="14" t="str">
        <f>IF(TAREAS!$I$54="Propuesta",IF(AND(M$7&gt;=TAREAS!$G$54,M$7&lt;=TAREAS!$H$54,CALENDARIO!$C$78=1),"P",""),IF(ISNUMBER(SEARCH(TEXT(M$7,"yyyy-mm-dd"),TAREAS!$J$54)),IF(TAREAS!$I$54="Registro Git","R",IF(TAREAS!$I$54="Despliegue documentado","D","L")),""))</f>
        <v/>
      </c>
      <c r="N15" s="14" t="str">
        <f>IF(TAREAS!$I$54="Propuesta",IF(AND(N$7&gt;=TAREAS!$G$54,N$7&lt;=TAREAS!$H$54,CALENDARIO!$C$79=1),"P",""),IF(ISNUMBER(SEARCH(TEXT(N$7,"yyyy-mm-dd"),TAREAS!$J$54)),IF(TAREAS!$I$54="Registro Git","R",IF(TAREAS!$I$54="Despliegue documentado","D","L")),""))</f>
        <v/>
      </c>
      <c r="O15" s="14" t="str">
        <f>IF(TAREAS!$I$54="Propuesta",IF(AND(O$7&gt;=TAREAS!$G$54,O$7&lt;=TAREAS!$H$54,CALENDARIO!$C$80=1),"P",""),IF(ISNUMBER(SEARCH(TEXT(O$7,"yyyy-mm-dd"),TAREAS!$J$54)),IF(TAREAS!$I$54="Registro Git","R",IF(TAREAS!$I$54="Despliegue documentado","D","L")),""))</f>
        <v/>
      </c>
      <c r="P15" s="14" t="str">
        <f>IF(TAREAS!$I$54="Propuesta",IF(AND(P$7&gt;=TAREAS!$G$54,P$7&lt;=TAREAS!$H$54,CALENDARIO!$C$81=1),"P",""),IF(ISNUMBER(SEARCH(TEXT(P$7,"yyyy-mm-dd"),TAREAS!$J$54)),IF(TAREAS!$I$54="Registro Git","R",IF(TAREAS!$I$54="Despliegue documentado","D","L")),""))</f>
        <v/>
      </c>
      <c r="Q15" s="14" t="str">
        <f>IF(TAREAS!$I$54="Propuesta",IF(AND(Q$7&gt;=TAREAS!$G$54,Q$7&lt;=TAREAS!$H$54,CALENDARIO!$C$82=1),"P",""),IF(ISNUMBER(SEARCH(TEXT(Q$7,"yyyy-mm-dd"),TAREAS!$J$54)),IF(TAREAS!$I$54="Registro Git","R",IF(TAREAS!$I$54="Despliegue documentado","D","L")),""))</f>
        <v/>
      </c>
      <c r="R15" s="15" t="str">
        <f>IF(TAREAS!$I$54="Propuesta",IF(AND(R$7&gt;=TAREAS!$G$54,R$7&lt;=TAREAS!$H$54,CALENDARIO!$C$83=1),"P",""),IF(ISNUMBER(SEARCH(TEXT(R$7,"yyyy-mm-dd"),TAREAS!$J$54)),IF(TAREAS!$I$54="Registro Git","R",IF(TAREAS!$I$54="Despliegue documentado","D","L")),""))</f>
        <v/>
      </c>
      <c r="S15" s="15" t="str">
        <f>IF(TAREAS!$I$54="Propuesta",IF(AND(S$7&gt;=TAREAS!$G$54,S$7&lt;=TAREAS!$H$54,CALENDARIO!$C$84=1),"P",""),IF(ISNUMBER(SEARCH(TEXT(S$7,"yyyy-mm-dd"),TAREAS!$J$54)),IF(TAREAS!$I$54="Registro Git","R",IF(TAREAS!$I$54="Despliegue documentado","D","L")),""))</f>
        <v/>
      </c>
      <c r="T15" s="14" t="str">
        <f>IF(TAREAS!$I$54="Propuesta",IF(AND(T$7&gt;=TAREAS!$G$54,T$7&lt;=TAREAS!$H$54,CALENDARIO!$C$85=1),"P",""),IF(ISNUMBER(SEARCH(TEXT(T$7,"yyyy-mm-dd"),TAREAS!$J$54)),IF(TAREAS!$I$54="Registro Git","R",IF(TAREAS!$I$54="Despliegue documentado","D","L")),""))</f>
        <v/>
      </c>
      <c r="U15" s="14" t="str">
        <f>IF(TAREAS!$I$54="Propuesta",IF(AND(U$7&gt;=TAREAS!$G$54,U$7&lt;=TAREAS!$H$54,CALENDARIO!$C$86=1),"P",""),IF(ISNUMBER(SEARCH(TEXT(U$7,"yyyy-mm-dd"),TAREAS!$J$54)),IF(TAREAS!$I$54="Registro Git","R",IF(TAREAS!$I$54="Despliegue documentado","D","L")),""))</f>
        <v/>
      </c>
      <c r="V15" s="14" t="str">
        <f>IF(TAREAS!$I$54="Propuesta",IF(AND(V$7&gt;=TAREAS!$G$54,V$7&lt;=TAREAS!$H$54,CALENDARIO!$C$87=1),"P",""),IF(ISNUMBER(SEARCH(TEXT(V$7,"yyyy-mm-dd"),TAREAS!$J$54)),IF(TAREAS!$I$54="Registro Git","R",IF(TAREAS!$I$54="Despliegue documentado","D","L")),""))</f>
        <v/>
      </c>
      <c r="W15" s="14" t="str">
        <f>IF(TAREAS!$I$54="Propuesta",IF(AND(W$7&gt;=TAREAS!$G$54,W$7&lt;=TAREAS!$H$54,CALENDARIO!$C$88=1),"P",""),IF(ISNUMBER(SEARCH(TEXT(W$7,"yyyy-mm-dd"),TAREAS!$J$54)),IF(TAREAS!$I$54="Registro Git","R",IF(TAREAS!$I$54="Despliegue documentado","D","L")),""))</f>
        <v/>
      </c>
      <c r="X15" s="14" t="str">
        <f>IF(TAREAS!$I$54="Propuesta",IF(AND(X$7&gt;=TAREAS!$G$54,X$7&lt;=TAREAS!$H$54,CALENDARIO!$C$89=1),"P",""),IF(ISNUMBER(SEARCH(TEXT(X$7,"yyyy-mm-dd"),TAREAS!$J$54)),IF(TAREAS!$I$54="Registro Git","R",IF(TAREAS!$I$54="Despliegue documentado","D","L")),""))</f>
        <v/>
      </c>
      <c r="Y15" s="15" t="str">
        <f>IF(TAREAS!$I$54="Propuesta",IF(AND(Y$7&gt;=TAREAS!$G$54,Y$7&lt;=TAREAS!$H$54,CALENDARIO!$C$90=1),"P",""),IF(ISNUMBER(SEARCH(TEXT(Y$7,"yyyy-mm-dd"),TAREAS!$J$54)),IF(TAREAS!$I$54="Registro Git","R",IF(TAREAS!$I$54="Despliegue documentado","D","L")),""))</f>
        <v/>
      </c>
      <c r="Z15" s="15" t="str">
        <f>IF(TAREAS!$I$54="Propuesta",IF(AND(Z$7&gt;=TAREAS!$G$54,Z$7&lt;=TAREAS!$H$54,CALENDARIO!$C$91=1),"P",""),IF(ISNUMBER(SEARCH(TEXT(Z$7,"yyyy-mm-dd"),TAREAS!$J$54)),IF(TAREAS!$I$54="Registro Git","R",IF(TAREAS!$I$54="Despliegue documentado","D","L")),""))</f>
        <v/>
      </c>
      <c r="AA15" s="14" t="str">
        <f>IF(TAREAS!$I$54="Propuesta",IF(AND(AA$7&gt;=TAREAS!$G$54,AA$7&lt;=TAREAS!$H$54,CALENDARIO!$C$92=1),"P",""),IF(ISNUMBER(SEARCH(TEXT(AA$7,"yyyy-mm-dd"),TAREAS!$J$54)),IF(TAREAS!$I$54="Registro Git","R",IF(TAREAS!$I$54="Despliegue documentado","D","L")),""))</f>
        <v/>
      </c>
      <c r="AB15" s="14" t="str">
        <f>IF(TAREAS!$I$54="Propuesta",IF(AND(AB$7&gt;=TAREAS!$G$54,AB$7&lt;=TAREAS!$H$54,CALENDARIO!$C$93=1),"P",""),IF(ISNUMBER(SEARCH(TEXT(AB$7,"yyyy-mm-dd"),TAREAS!$J$54)),IF(TAREAS!$I$54="Registro Git","R",IF(TAREAS!$I$54="Despliegue documentado","D","L")),""))</f>
        <v/>
      </c>
      <c r="AC15" s="14" t="str">
        <f>IF(TAREAS!$I$54="Propuesta",IF(AND(AC$7&gt;=TAREAS!$G$54,AC$7&lt;=TAREAS!$H$54,CALENDARIO!$C$94=1),"P",""),IF(ISNUMBER(SEARCH(TEXT(AC$7,"yyyy-mm-dd"),TAREAS!$J$54)),IF(TAREAS!$I$54="Registro Git","R",IF(TAREAS!$I$54="Despliegue documentado","D","L")),""))</f>
        <v>P</v>
      </c>
      <c r="AD15" s="14" t="str">
        <f>IF(TAREAS!$I$54="Propuesta",IF(AND(AD$7&gt;=TAREAS!$G$54,AD$7&lt;=TAREAS!$H$54,CALENDARIO!$C$95=1),"P",""),IF(ISNUMBER(SEARCH(TEXT(AD$7,"yyyy-mm-dd"),TAREAS!$J$54)),IF(TAREAS!$I$54="Registro Git","R",IF(TAREAS!$I$54="Despliegue documentado","D","L")),""))</f>
        <v>P</v>
      </c>
      <c r="AE15" s="14" t="str">
        <f>IF(TAREAS!$I$54="Propuesta",IF(AND(AE$7&gt;=TAREAS!$G$54,AE$7&lt;=TAREAS!$H$54,CALENDARIO!$C$96=1),"P",""),IF(ISNUMBER(SEARCH(TEXT(AE$7,"yyyy-mm-dd"),TAREAS!$J$54)),IF(TAREAS!$I$54="Registro Git","R",IF(TAREAS!$I$54="Despliegue documentado","D","L")),""))</f>
        <v>P</v>
      </c>
      <c r="AF15" s="15" t="str">
        <f>IF(TAREAS!$I$54="Propuesta",IF(AND(AF$7&gt;=TAREAS!$G$54,AF$7&lt;=TAREAS!$H$54,CALENDARIO!$C$97=1),"P",""),IF(ISNUMBER(SEARCH(TEXT(AF$7,"yyyy-mm-dd"),TAREAS!$J$54)),IF(TAREAS!$I$54="Registro Git","R",IF(TAREAS!$I$54="Despliegue documentado","D","L")),""))</f>
        <v/>
      </c>
      <c r="AG15" s="15" t="str">
        <f>IF(TAREAS!$I$54="Propuesta",IF(AND(AG$7&gt;=TAREAS!$G$54,AG$7&lt;=TAREAS!$H$54,CALENDARIO!$C$98=1),"P",""),IF(ISNUMBER(SEARCH(TEXT(AG$7,"yyyy-mm-dd"),TAREAS!$J$54)),IF(TAREAS!$I$54="Registro Git","R",IF(TAREAS!$I$54="Despliegue documentado","D","L")),""))</f>
        <v/>
      </c>
      <c r="AH15" s="14" t="str">
        <f>IF(TAREAS!$I$54="Propuesta",IF(AND(AH$7&gt;=TAREAS!$G$54,AH$7&lt;=TAREAS!$H$54,CALENDARIO!$C$99=1),"P",""),IF(ISNUMBER(SEARCH(TEXT(AH$7,"yyyy-mm-dd"),TAREAS!$J$54)),IF(TAREAS!$I$54="Registro Git","R",IF(TAREAS!$I$54="Despliegue documentado","D","L")),""))</f>
        <v/>
      </c>
    </row>
    <row r="16" spans="1:34" ht="72" customHeight="1" x14ac:dyDescent="0.25">
      <c r="A16" s="16" t="str">
        <f>TAREAS!C55</f>
        <v>HU-G09 · Como equipo, queremos requisitos y planificación trazables.</v>
      </c>
      <c r="B16" s="12" t="str">
        <f>TAREAS!A55&amp;" · "&amp;TAREAS!D55</f>
        <v>T-051 · Revisión y retrospectiva del Sprint 3</v>
      </c>
      <c r="C16" s="12" t="str">
        <f>TAREAS!F55</f>
        <v>Dirección + equipo</v>
      </c>
      <c r="D16" s="13">
        <f t="shared" si="0"/>
        <v>1</v>
      </c>
      <c r="E16" s="15" t="str">
        <f>IF(TAREAS!$I$55="Propuesta",IF(AND(E$7&gt;=TAREAS!$G$55,E$7&lt;=TAREAS!$H$55,CALENDARIO!$C$70=1),"P",""),IF(ISNUMBER(SEARCH(TEXT(E$7,"yyyy-mm-dd"),TAREAS!$J$55)),IF(TAREAS!$I$55="Registro Git","R",IF(TAREAS!$I$55="Despliegue documentado","D","L")),""))</f>
        <v/>
      </c>
      <c r="F16" s="14" t="str">
        <f>IF(TAREAS!$I$55="Propuesta",IF(AND(F$7&gt;=TAREAS!$G$55,F$7&lt;=TAREAS!$H$55,CALENDARIO!$C$71=1),"P",""),IF(ISNUMBER(SEARCH(TEXT(F$7,"yyyy-mm-dd"),TAREAS!$J$55)),IF(TAREAS!$I$55="Registro Git","R",IF(TAREAS!$I$55="Despliegue documentado","D","L")),""))</f>
        <v/>
      </c>
      <c r="G16" s="14" t="str">
        <f>IF(TAREAS!$I$55="Propuesta",IF(AND(G$7&gt;=TAREAS!$G$55,G$7&lt;=TAREAS!$H$55,CALENDARIO!$C$72=1),"P",""),IF(ISNUMBER(SEARCH(TEXT(G$7,"yyyy-mm-dd"),TAREAS!$J$55)),IF(TAREAS!$I$55="Registro Git","R",IF(TAREAS!$I$55="Despliegue documentado","D","L")),""))</f>
        <v/>
      </c>
      <c r="H16" s="14" t="str">
        <f>IF(TAREAS!$I$55="Propuesta",IF(AND(H$7&gt;=TAREAS!$G$55,H$7&lt;=TAREAS!$H$55,CALENDARIO!$C$73=1),"P",""),IF(ISNUMBER(SEARCH(TEXT(H$7,"yyyy-mm-dd"),TAREAS!$J$55)),IF(TAREAS!$I$55="Registro Git","R",IF(TAREAS!$I$55="Despliegue documentado","D","L")),""))</f>
        <v/>
      </c>
      <c r="I16" s="14" t="str">
        <f>IF(TAREAS!$I$55="Propuesta",IF(AND(I$7&gt;=TAREAS!$G$55,I$7&lt;=TAREAS!$H$55,CALENDARIO!$C$74=1),"P",""),IF(ISNUMBER(SEARCH(TEXT(I$7,"yyyy-mm-dd"),TAREAS!$J$55)),IF(TAREAS!$I$55="Registro Git","R",IF(TAREAS!$I$55="Despliegue documentado","D","L")),""))</f>
        <v/>
      </c>
      <c r="J16" s="14" t="str">
        <f>IF(TAREAS!$I$55="Propuesta",IF(AND(J$7&gt;=TAREAS!$G$55,J$7&lt;=TAREAS!$H$55,CALENDARIO!$C$75=1),"P",""),IF(ISNUMBER(SEARCH(TEXT(J$7,"yyyy-mm-dd"),TAREAS!$J$55)),IF(TAREAS!$I$55="Registro Git","R",IF(TAREAS!$I$55="Despliegue documentado","D","L")),""))</f>
        <v/>
      </c>
      <c r="K16" s="15" t="str">
        <f>IF(TAREAS!$I$55="Propuesta",IF(AND(K$7&gt;=TAREAS!$G$55,K$7&lt;=TAREAS!$H$55,CALENDARIO!$C$76=1),"P",""),IF(ISNUMBER(SEARCH(TEXT(K$7,"yyyy-mm-dd"),TAREAS!$J$55)),IF(TAREAS!$I$55="Registro Git","R",IF(TAREAS!$I$55="Despliegue documentado","D","L")),""))</f>
        <v/>
      </c>
      <c r="L16" s="15" t="str">
        <f>IF(TAREAS!$I$55="Propuesta",IF(AND(L$7&gt;=TAREAS!$G$55,L$7&lt;=TAREAS!$H$55,CALENDARIO!$C$77=1),"P",""),IF(ISNUMBER(SEARCH(TEXT(L$7,"yyyy-mm-dd"),TAREAS!$J$55)),IF(TAREAS!$I$55="Registro Git","R",IF(TAREAS!$I$55="Despliegue documentado","D","L")),""))</f>
        <v/>
      </c>
      <c r="M16" s="14" t="str">
        <f>IF(TAREAS!$I$55="Propuesta",IF(AND(M$7&gt;=TAREAS!$G$55,M$7&lt;=TAREAS!$H$55,CALENDARIO!$C$78=1),"P",""),IF(ISNUMBER(SEARCH(TEXT(M$7,"yyyy-mm-dd"),TAREAS!$J$55)),IF(TAREAS!$I$55="Registro Git","R",IF(TAREAS!$I$55="Despliegue documentado","D","L")),""))</f>
        <v/>
      </c>
      <c r="N16" s="14" t="str">
        <f>IF(TAREAS!$I$55="Propuesta",IF(AND(N$7&gt;=TAREAS!$G$55,N$7&lt;=TAREAS!$H$55,CALENDARIO!$C$79=1),"P",""),IF(ISNUMBER(SEARCH(TEXT(N$7,"yyyy-mm-dd"),TAREAS!$J$55)),IF(TAREAS!$I$55="Registro Git","R",IF(TAREAS!$I$55="Despliegue documentado","D","L")),""))</f>
        <v/>
      </c>
      <c r="O16" s="14" t="str">
        <f>IF(TAREAS!$I$55="Propuesta",IF(AND(O$7&gt;=TAREAS!$G$55,O$7&lt;=TAREAS!$H$55,CALENDARIO!$C$80=1),"P",""),IF(ISNUMBER(SEARCH(TEXT(O$7,"yyyy-mm-dd"),TAREAS!$J$55)),IF(TAREAS!$I$55="Registro Git","R",IF(TAREAS!$I$55="Despliegue documentado","D","L")),""))</f>
        <v/>
      </c>
      <c r="P16" s="14" t="str">
        <f>IF(TAREAS!$I$55="Propuesta",IF(AND(P$7&gt;=TAREAS!$G$55,P$7&lt;=TAREAS!$H$55,CALENDARIO!$C$81=1),"P",""),IF(ISNUMBER(SEARCH(TEXT(P$7,"yyyy-mm-dd"),TAREAS!$J$55)),IF(TAREAS!$I$55="Registro Git","R",IF(TAREAS!$I$55="Despliegue documentado","D","L")),""))</f>
        <v/>
      </c>
      <c r="Q16" s="14" t="str">
        <f>IF(TAREAS!$I$55="Propuesta",IF(AND(Q$7&gt;=TAREAS!$G$55,Q$7&lt;=TAREAS!$H$55,CALENDARIO!$C$82=1),"P",""),IF(ISNUMBER(SEARCH(TEXT(Q$7,"yyyy-mm-dd"),TAREAS!$J$55)),IF(TAREAS!$I$55="Registro Git","R",IF(TAREAS!$I$55="Despliegue documentado","D","L")),""))</f>
        <v/>
      </c>
      <c r="R16" s="15" t="str">
        <f>IF(TAREAS!$I$55="Propuesta",IF(AND(R$7&gt;=TAREAS!$G$55,R$7&lt;=TAREAS!$H$55,CALENDARIO!$C$83=1),"P",""),IF(ISNUMBER(SEARCH(TEXT(R$7,"yyyy-mm-dd"),TAREAS!$J$55)),IF(TAREAS!$I$55="Registro Git","R",IF(TAREAS!$I$55="Despliegue documentado","D","L")),""))</f>
        <v/>
      </c>
      <c r="S16" s="15" t="str">
        <f>IF(TAREAS!$I$55="Propuesta",IF(AND(S$7&gt;=TAREAS!$G$55,S$7&lt;=TAREAS!$H$55,CALENDARIO!$C$84=1),"P",""),IF(ISNUMBER(SEARCH(TEXT(S$7,"yyyy-mm-dd"),TAREAS!$J$55)),IF(TAREAS!$I$55="Registro Git","R",IF(TAREAS!$I$55="Despliegue documentado","D","L")),""))</f>
        <v/>
      </c>
      <c r="T16" s="14" t="str">
        <f>IF(TAREAS!$I$55="Propuesta",IF(AND(T$7&gt;=TAREAS!$G$55,T$7&lt;=TAREAS!$H$55,CALENDARIO!$C$85=1),"P",""),IF(ISNUMBER(SEARCH(TEXT(T$7,"yyyy-mm-dd"),TAREAS!$J$55)),IF(TAREAS!$I$55="Registro Git","R",IF(TAREAS!$I$55="Despliegue documentado","D","L")),""))</f>
        <v/>
      </c>
      <c r="U16" s="14" t="str">
        <f>IF(TAREAS!$I$55="Propuesta",IF(AND(U$7&gt;=TAREAS!$G$55,U$7&lt;=TAREAS!$H$55,CALENDARIO!$C$86=1),"P",""),IF(ISNUMBER(SEARCH(TEXT(U$7,"yyyy-mm-dd"),TAREAS!$J$55)),IF(TAREAS!$I$55="Registro Git","R",IF(TAREAS!$I$55="Despliegue documentado","D","L")),""))</f>
        <v/>
      </c>
      <c r="V16" s="14" t="str">
        <f>IF(TAREAS!$I$55="Propuesta",IF(AND(V$7&gt;=TAREAS!$G$55,V$7&lt;=TAREAS!$H$55,CALENDARIO!$C$87=1),"P",""),IF(ISNUMBER(SEARCH(TEXT(V$7,"yyyy-mm-dd"),TAREAS!$J$55)),IF(TAREAS!$I$55="Registro Git","R",IF(TAREAS!$I$55="Despliegue documentado","D","L")),""))</f>
        <v/>
      </c>
      <c r="W16" s="14" t="str">
        <f>IF(TAREAS!$I$55="Propuesta",IF(AND(W$7&gt;=TAREAS!$G$55,W$7&lt;=TAREAS!$H$55,CALENDARIO!$C$88=1),"P",""),IF(ISNUMBER(SEARCH(TEXT(W$7,"yyyy-mm-dd"),TAREAS!$J$55)),IF(TAREAS!$I$55="Registro Git","R",IF(TAREAS!$I$55="Despliegue documentado","D","L")),""))</f>
        <v/>
      </c>
      <c r="X16" s="14" t="str">
        <f>IF(TAREAS!$I$55="Propuesta",IF(AND(X$7&gt;=TAREAS!$G$55,X$7&lt;=TAREAS!$H$55,CALENDARIO!$C$89=1),"P",""),IF(ISNUMBER(SEARCH(TEXT(X$7,"yyyy-mm-dd"),TAREAS!$J$55)),IF(TAREAS!$I$55="Registro Git","R",IF(TAREAS!$I$55="Despliegue documentado","D","L")),""))</f>
        <v/>
      </c>
      <c r="Y16" s="15" t="str">
        <f>IF(TAREAS!$I$55="Propuesta",IF(AND(Y$7&gt;=TAREAS!$G$55,Y$7&lt;=TAREAS!$H$55,CALENDARIO!$C$90=1),"P",""),IF(ISNUMBER(SEARCH(TEXT(Y$7,"yyyy-mm-dd"),TAREAS!$J$55)),IF(TAREAS!$I$55="Registro Git","R",IF(TAREAS!$I$55="Despliegue documentado","D","L")),""))</f>
        <v/>
      </c>
      <c r="Z16" s="15" t="str">
        <f>IF(TAREAS!$I$55="Propuesta",IF(AND(Z$7&gt;=TAREAS!$G$55,Z$7&lt;=TAREAS!$H$55,CALENDARIO!$C$91=1),"P",""),IF(ISNUMBER(SEARCH(TEXT(Z$7,"yyyy-mm-dd"),TAREAS!$J$55)),IF(TAREAS!$I$55="Registro Git","R",IF(TAREAS!$I$55="Despliegue documentado","D","L")),""))</f>
        <v/>
      </c>
      <c r="AA16" s="14" t="str">
        <f>IF(TAREAS!$I$55="Propuesta",IF(AND(AA$7&gt;=TAREAS!$G$55,AA$7&lt;=TAREAS!$H$55,CALENDARIO!$C$92=1),"P",""),IF(ISNUMBER(SEARCH(TEXT(AA$7,"yyyy-mm-dd"),TAREAS!$J$55)),IF(TAREAS!$I$55="Registro Git","R",IF(TAREAS!$I$55="Despliegue documentado","D","L")),""))</f>
        <v/>
      </c>
      <c r="AB16" s="14" t="str">
        <f>IF(TAREAS!$I$55="Propuesta",IF(AND(AB$7&gt;=TAREAS!$G$55,AB$7&lt;=TAREAS!$H$55,CALENDARIO!$C$93=1),"P",""),IF(ISNUMBER(SEARCH(TEXT(AB$7,"yyyy-mm-dd"),TAREAS!$J$55)),IF(TAREAS!$I$55="Registro Git","R",IF(TAREAS!$I$55="Despliegue documentado","D","L")),""))</f>
        <v/>
      </c>
      <c r="AC16" s="14" t="str">
        <f>IF(TAREAS!$I$55="Propuesta",IF(AND(AC$7&gt;=TAREAS!$G$55,AC$7&lt;=TAREAS!$H$55,CALENDARIO!$C$94=1),"P",""),IF(ISNUMBER(SEARCH(TEXT(AC$7,"yyyy-mm-dd"),TAREAS!$J$55)),IF(TAREAS!$I$55="Registro Git","R",IF(TAREAS!$I$55="Despliegue documentado","D","L")),""))</f>
        <v/>
      </c>
      <c r="AD16" s="14" t="str">
        <f>IF(TAREAS!$I$55="Propuesta",IF(AND(AD$7&gt;=TAREAS!$G$55,AD$7&lt;=TAREAS!$H$55,CALENDARIO!$C$95=1),"P",""),IF(ISNUMBER(SEARCH(TEXT(AD$7,"yyyy-mm-dd"),TAREAS!$J$55)),IF(TAREAS!$I$55="Registro Git","R",IF(TAREAS!$I$55="Despliegue documentado","D","L")),""))</f>
        <v/>
      </c>
      <c r="AE16" s="14" t="str">
        <f>IF(TAREAS!$I$55="Propuesta",IF(AND(AE$7&gt;=TAREAS!$G$55,AE$7&lt;=TAREAS!$H$55,CALENDARIO!$C$96=1),"P",""),IF(ISNUMBER(SEARCH(TEXT(AE$7,"yyyy-mm-dd"),TAREAS!$J$55)),IF(TAREAS!$I$55="Registro Git","R",IF(TAREAS!$I$55="Despliegue documentado","D","L")),""))</f>
        <v/>
      </c>
      <c r="AF16" s="15" t="str">
        <f>IF(TAREAS!$I$55="Propuesta",IF(AND(AF$7&gt;=TAREAS!$G$55,AF$7&lt;=TAREAS!$H$55,CALENDARIO!$C$97=1),"P",""),IF(ISNUMBER(SEARCH(TEXT(AF$7,"yyyy-mm-dd"),TAREAS!$J$55)),IF(TAREAS!$I$55="Registro Git","R",IF(TAREAS!$I$55="Despliegue documentado","D","L")),""))</f>
        <v/>
      </c>
      <c r="AG16" s="15" t="str">
        <f>IF(TAREAS!$I$55="Propuesta",IF(AND(AG$7&gt;=TAREAS!$G$55,AG$7&lt;=TAREAS!$H$55,CALENDARIO!$C$98=1),"P",""),IF(ISNUMBER(SEARCH(TEXT(AG$7,"yyyy-mm-dd"),TAREAS!$J$55)),IF(TAREAS!$I$55="Registro Git","R",IF(TAREAS!$I$55="Despliegue documentado","D","L")),""))</f>
        <v/>
      </c>
      <c r="AH16" s="14" t="str">
        <f>IF(TAREAS!$I$55="Propuesta",IF(AND(AH$7&gt;=TAREAS!$G$55,AH$7&lt;=TAREAS!$H$55,CALENDARIO!$C$99=1),"P",""),IF(ISNUMBER(SEARCH(TEXT(AH$7,"yyyy-mm-dd"),TAREAS!$J$55)),IF(TAREAS!$I$55="Registro Git","R",IF(TAREAS!$I$55="Despliegue documentado","D","L")),""))</f>
        <v>P</v>
      </c>
    </row>
  </sheetData>
  <mergeCells count="8">
    <mergeCell ref="A1:AH2"/>
    <mergeCell ref="A4:AH4"/>
    <mergeCell ref="A3:AH3"/>
    <mergeCell ref="C7:C8"/>
    <mergeCell ref="A7:A8"/>
    <mergeCell ref="B7:B8"/>
    <mergeCell ref="D7:D8"/>
    <mergeCell ref="A5:AH5"/>
  </mergeCells>
  <conditionalFormatting sqref="E9:AH12">
    <cfRule type="expression" dxfId="10" priority="1">
      <formula>E9&lt;&gt;""</formula>
    </cfRule>
  </conditionalFormatting>
  <conditionalFormatting sqref="E13:AH13">
    <cfRule type="expression" dxfId="9" priority="5">
      <formula>E13&lt;&gt;""</formula>
    </cfRule>
  </conditionalFormatting>
  <conditionalFormatting sqref="E14:AH14">
    <cfRule type="expression" dxfId="8" priority="6">
      <formula>E14&lt;&gt;""</formula>
    </cfRule>
  </conditionalFormatting>
  <conditionalFormatting sqref="E15:AH15">
    <cfRule type="expression" dxfId="7" priority="7">
      <formula>E15&lt;&gt;""</formula>
    </cfRule>
  </conditionalFormatting>
  <conditionalFormatting sqref="E16:AH16">
    <cfRule type="expression" dxfId="6" priority="8">
      <formula>E16&lt;&gt;""</formula>
    </cfRule>
  </conditionalFormatting>
  <printOptions horizontalCentered="1"/>
  <pageMargins left="0.22" right="0.22" top="0.35" bottom="0.35" header="0.5" footer="0.5"/>
  <pageSetup paperSize="8" fitToHeight="0" orientation="landscape"/>
  <headerFooter>
    <oddFooter>&amp;C&amp;8 KJA · Planificación al 22/09/2026 · 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AD7F4"/>
    <pageSetUpPr fitToPage="1"/>
  </sheetPr>
  <dimension ref="A1:AI17"/>
  <sheetViews>
    <sheetView showGridLines="0" zoomScale="70" workbookViewId="0">
      <pane xSplit="4" ySplit="8" topLeftCell="E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9" customWidth="1"/>
    <col min="2" max="2" width="59" customWidth="1"/>
    <col min="3" max="3" width="28" customWidth="1"/>
    <col min="4" max="4" width="11" customWidth="1"/>
    <col min="5" max="35" width="6" customWidth="1"/>
  </cols>
  <sheetData>
    <row r="1" spans="1:35" ht="24" customHeight="1" x14ac:dyDescent="0.25">
      <c r="A1" s="26" t="s">
        <v>69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spans="1:35" ht="15.9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 spans="1:35" ht="23.1" customHeight="1" x14ac:dyDescent="0.25">
      <c r="A3" s="27" t="s">
        <v>70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</row>
    <row r="4" spans="1:35" ht="23.1" customHeight="1" x14ac:dyDescent="0.25">
      <c r="A4" s="27" t="s">
        <v>50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</row>
    <row r="5" spans="1:35" ht="21.95" customHeight="1" x14ac:dyDescent="0.25">
      <c r="A5" s="27" t="s">
        <v>51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7" spans="1:35" ht="26.1" customHeight="1" x14ac:dyDescent="0.25">
      <c r="A7" s="28" t="s">
        <v>52</v>
      </c>
      <c r="B7" s="28" t="s">
        <v>53</v>
      </c>
      <c r="C7" s="28" t="s">
        <v>54</v>
      </c>
      <c r="D7" s="28" t="s">
        <v>55</v>
      </c>
      <c r="E7" s="7">
        <v>46357</v>
      </c>
      <c r="F7" s="7">
        <v>46358</v>
      </c>
      <c r="G7" s="7">
        <v>46359</v>
      </c>
      <c r="H7" s="7">
        <v>46360</v>
      </c>
      <c r="I7" s="8">
        <v>46361</v>
      </c>
      <c r="J7" s="8">
        <v>46362</v>
      </c>
      <c r="K7" s="7">
        <v>46363</v>
      </c>
      <c r="L7" s="8">
        <v>46364</v>
      </c>
      <c r="M7" s="8">
        <v>46365</v>
      </c>
      <c r="N7" s="7">
        <v>46366</v>
      </c>
      <c r="O7" s="7">
        <v>46367</v>
      </c>
      <c r="P7" s="8">
        <v>46368</v>
      </c>
      <c r="Q7" s="8">
        <v>46369</v>
      </c>
      <c r="R7" s="7">
        <v>46370</v>
      </c>
      <c r="S7" s="7">
        <v>46371</v>
      </c>
      <c r="T7" s="7">
        <v>46372</v>
      </c>
      <c r="U7" s="7">
        <v>46373</v>
      </c>
      <c r="V7" s="7">
        <v>46374</v>
      </c>
      <c r="W7" s="8">
        <v>46375</v>
      </c>
      <c r="X7" s="8">
        <v>46376</v>
      </c>
      <c r="Y7" s="7">
        <v>46377</v>
      </c>
      <c r="Z7" s="7">
        <v>46378</v>
      </c>
      <c r="AA7" s="7">
        <v>46379</v>
      </c>
      <c r="AB7" s="7">
        <v>46380</v>
      </c>
      <c r="AC7" s="8">
        <v>46381</v>
      </c>
      <c r="AD7" s="8">
        <v>46382</v>
      </c>
      <c r="AE7" s="8">
        <v>46383</v>
      </c>
      <c r="AF7" s="7">
        <v>46384</v>
      </c>
      <c r="AG7" s="7">
        <v>46385</v>
      </c>
      <c r="AH7" s="7">
        <v>46386</v>
      </c>
      <c r="AI7" s="7">
        <v>46387</v>
      </c>
    </row>
    <row r="8" spans="1:35" ht="18.95" customHeight="1" x14ac:dyDescent="0.25">
      <c r="A8" s="27"/>
      <c r="B8" s="27"/>
      <c r="C8" s="27"/>
      <c r="D8" s="27"/>
      <c r="E8" s="9" t="s">
        <v>62</v>
      </c>
      <c r="F8" s="9" t="s">
        <v>63</v>
      </c>
      <c r="G8" s="9" t="s">
        <v>64</v>
      </c>
      <c r="H8" s="9" t="s">
        <v>56</v>
      </c>
      <c r="I8" s="10" t="s">
        <v>57</v>
      </c>
      <c r="J8" s="10" t="s">
        <v>58</v>
      </c>
      <c r="K8" s="9" t="s">
        <v>59</v>
      </c>
      <c r="L8" s="10" t="s">
        <v>62</v>
      </c>
      <c r="M8" s="10" t="s">
        <v>63</v>
      </c>
      <c r="N8" s="9" t="s">
        <v>64</v>
      </c>
      <c r="O8" s="9" t="s">
        <v>56</v>
      </c>
      <c r="P8" s="10" t="s">
        <v>57</v>
      </c>
      <c r="Q8" s="10" t="s">
        <v>58</v>
      </c>
      <c r="R8" s="9" t="s">
        <v>59</v>
      </c>
      <c r="S8" s="9" t="s">
        <v>62</v>
      </c>
      <c r="T8" s="9" t="s">
        <v>63</v>
      </c>
      <c r="U8" s="9" t="s">
        <v>64</v>
      </c>
      <c r="V8" s="9" t="s">
        <v>56</v>
      </c>
      <c r="W8" s="10" t="s">
        <v>57</v>
      </c>
      <c r="X8" s="10" t="s">
        <v>58</v>
      </c>
      <c r="Y8" s="9" t="s">
        <v>59</v>
      </c>
      <c r="Z8" s="9" t="s">
        <v>62</v>
      </c>
      <c r="AA8" s="9" t="s">
        <v>63</v>
      </c>
      <c r="AB8" s="9" t="s">
        <v>64</v>
      </c>
      <c r="AC8" s="10" t="s">
        <v>56</v>
      </c>
      <c r="AD8" s="10" t="s">
        <v>57</v>
      </c>
      <c r="AE8" s="10" t="s">
        <v>58</v>
      </c>
      <c r="AF8" s="9" t="s">
        <v>59</v>
      </c>
      <c r="AG8" s="9" t="s">
        <v>62</v>
      </c>
      <c r="AH8" s="9" t="s">
        <v>63</v>
      </c>
      <c r="AI8" s="9" t="s">
        <v>64</v>
      </c>
    </row>
    <row r="9" spans="1:35" ht="72" customHeight="1" x14ac:dyDescent="0.25">
      <c r="A9" s="19" t="str">
        <f>TAREAS!C56</f>
        <v>HU-G11 · Como usuario, quiero mejoras de calidad y flujos confiables.</v>
      </c>
      <c r="B9" s="12" t="str">
        <f>TAREAS!A56&amp;" · "&amp;TAREAS!D56</f>
        <v>T-052 · Definir retención, respaldo y procedimiento de recuperación</v>
      </c>
      <c r="C9" s="12" t="str">
        <f>TAREAS!F56</f>
        <v>Dirección + Sistemas</v>
      </c>
      <c r="D9" s="13">
        <f t="shared" ref="D9:D17" si="0">COUNTIF(E9:AI9,"R")+COUNTIF(E9:AI9,"D")+COUNTIF(E9:AI9,"L")+COUNTIF(E9:AI9,"P")</f>
        <v>3</v>
      </c>
      <c r="E9" s="14" t="str">
        <f>IF(TAREAS!$I$56="Propuesta",IF(AND(E$7&gt;=TAREAS!$G$56,E$7&lt;=TAREAS!$H$56,CALENDARIO!$C$100=1),"P",""),IF(ISNUMBER(SEARCH(TEXT(E$7,"yyyy-mm-dd"),TAREAS!$J$56)),IF(TAREAS!$I$56="Registro Git","R",IF(TAREAS!$I$56="Despliegue documentado","D","L")),""))</f>
        <v>P</v>
      </c>
      <c r="F9" s="14" t="str">
        <f>IF(TAREAS!$I$56="Propuesta",IF(AND(F$7&gt;=TAREAS!$G$56,F$7&lt;=TAREAS!$H$56,CALENDARIO!$C$101=1),"P",""),IF(ISNUMBER(SEARCH(TEXT(F$7,"yyyy-mm-dd"),TAREAS!$J$56)),IF(TAREAS!$I$56="Registro Git","R",IF(TAREAS!$I$56="Despliegue documentado","D","L")),""))</f>
        <v>P</v>
      </c>
      <c r="G9" s="14" t="str">
        <f>IF(TAREAS!$I$56="Propuesta",IF(AND(G$7&gt;=TAREAS!$G$56,G$7&lt;=TAREAS!$H$56,CALENDARIO!$C$102=1),"P",""),IF(ISNUMBER(SEARCH(TEXT(G$7,"yyyy-mm-dd"),TAREAS!$J$56)),IF(TAREAS!$I$56="Registro Git","R",IF(TAREAS!$I$56="Despliegue documentado","D","L")),""))</f>
        <v>P</v>
      </c>
      <c r="H9" s="14" t="str">
        <f>IF(TAREAS!$I$56="Propuesta",IF(AND(H$7&gt;=TAREAS!$G$56,H$7&lt;=TAREAS!$H$56,CALENDARIO!$C$103=1),"P",""),IF(ISNUMBER(SEARCH(TEXT(H$7,"yyyy-mm-dd"),TAREAS!$J$56)),IF(TAREAS!$I$56="Registro Git","R",IF(TAREAS!$I$56="Despliegue documentado","D","L")),""))</f>
        <v/>
      </c>
      <c r="I9" s="15" t="str">
        <f>IF(TAREAS!$I$56="Propuesta",IF(AND(I$7&gt;=TAREAS!$G$56,I$7&lt;=TAREAS!$H$56,CALENDARIO!$C$104=1),"P",""),IF(ISNUMBER(SEARCH(TEXT(I$7,"yyyy-mm-dd"),TAREAS!$J$56)),IF(TAREAS!$I$56="Registro Git","R",IF(TAREAS!$I$56="Despliegue documentado","D","L")),""))</f>
        <v/>
      </c>
      <c r="J9" s="15" t="str">
        <f>IF(TAREAS!$I$56="Propuesta",IF(AND(J$7&gt;=TAREAS!$G$56,J$7&lt;=TAREAS!$H$56,CALENDARIO!$C$105=1),"P",""),IF(ISNUMBER(SEARCH(TEXT(J$7,"yyyy-mm-dd"),TAREAS!$J$56)),IF(TAREAS!$I$56="Registro Git","R",IF(TAREAS!$I$56="Despliegue documentado","D","L")),""))</f>
        <v/>
      </c>
      <c r="K9" s="14" t="str">
        <f>IF(TAREAS!$I$56="Propuesta",IF(AND(K$7&gt;=TAREAS!$G$56,K$7&lt;=TAREAS!$H$56,CALENDARIO!$C$106=1),"P",""),IF(ISNUMBER(SEARCH(TEXT(K$7,"yyyy-mm-dd"),TAREAS!$J$56)),IF(TAREAS!$I$56="Registro Git","R",IF(TAREAS!$I$56="Despliegue documentado","D","L")),""))</f>
        <v/>
      </c>
      <c r="L9" s="15" t="str">
        <f>IF(TAREAS!$I$56="Propuesta",IF(AND(L$7&gt;=TAREAS!$G$56,L$7&lt;=TAREAS!$H$56,CALENDARIO!$C$107=1),"P",""),IF(ISNUMBER(SEARCH(TEXT(L$7,"yyyy-mm-dd"),TAREAS!$J$56)),IF(TAREAS!$I$56="Registro Git","R",IF(TAREAS!$I$56="Despliegue documentado","D","L")),""))</f>
        <v/>
      </c>
      <c r="M9" s="15" t="str">
        <f>IF(TAREAS!$I$56="Propuesta",IF(AND(M$7&gt;=TAREAS!$G$56,M$7&lt;=TAREAS!$H$56,CALENDARIO!$C$108=1),"P",""),IF(ISNUMBER(SEARCH(TEXT(M$7,"yyyy-mm-dd"),TAREAS!$J$56)),IF(TAREAS!$I$56="Registro Git","R",IF(TAREAS!$I$56="Despliegue documentado","D","L")),""))</f>
        <v/>
      </c>
      <c r="N9" s="14" t="str">
        <f>IF(TAREAS!$I$56="Propuesta",IF(AND(N$7&gt;=TAREAS!$G$56,N$7&lt;=TAREAS!$H$56,CALENDARIO!$C$109=1),"P",""),IF(ISNUMBER(SEARCH(TEXT(N$7,"yyyy-mm-dd"),TAREAS!$J$56)),IF(TAREAS!$I$56="Registro Git","R",IF(TAREAS!$I$56="Despliegue documentado","D","L")),""))</f>
        <v/>
      </c>
      <c r="O9" s="14" t="str">
        <f>IF(TAREAS!$I$56="Propuesta",IF(AND(O$7&gt;=TAREAS!$G$56,O$7&lt;=TAREAS!$H$56,CALENDARIO!$C$110=1),"P",""),IF(ISNUMBER(SEARCH(TEXT(O$7,"yyyy-mm-dd"),TAREAS!$J$56)),IF(TAREAS!$I$56="Registro Git","R",IF(TAREAS!$I$56="Despliegue documentado","D","L")),""))</f>
        <v/>
      </c>
      <c r="P9" s="15" t="str">
        <f>IF(TAREAS!$I$56="Propuesta",IF(AND(P$7&gt;=TAREAS!$G$56,P$7&lt;=TAREAS!$H$56,CALENDARIO!$C$111=1),"P",""),IF(ISNUMBER(SEARCH(TEXT(P$7,"yyyy-mm-dd"),TAREAS!$J$56)),IF(TAREAS!$I$56="Registro Git","R",IF(TAREAS!$I$56="Despliegue documentado","D","L")),""))</f>
        <v/>
      </c>
      <c r="Q9" s="15" t="str">
        <f>IF(TAREAS!$I$56="Propuesta",IF(AND(Q$7&gt;=TAREAS!$G$56,Q$7&lt;=TAREAS!$H$56,CALENDARIO!$C$112=1),"P",""),IF(ISNUMBER(SEARCH(TEXT(Q$7,"yyyy-mm-dd"),TAREAS!$J$56)),IF(TAREAS!$I$56="Registro Git","R",IF(TAREAS!$I$56="Despliegue documentado","D","L")),""))</f>
        <v/>
      </c>
      <c r="R9" s="14" t="str">
        <f>IF(TAREAS!$I$56="Propuesta",IF(AND(R$7&gt;=TAREAS!$G$56,R$7&lt;=TAREAS!$H$56,CALENDARIO!$C$113=1),"P",""),IF(ISNUMBER(SEARCH(TEXT(R$7,"yyyy-mm-dd"),TAREAS!$J$56)),IF(TAREAS!$I$56="Registro Git","R",IF(TAREAS!$I$56="Despliegue documentado","D","L")),""))</f>
        <v/>
      </c>
      <c r="S9" s="14" t="str">
        <f>IF(TAREAS!$I$56="Propuesta",IF(AND(S$7&gt;=TAREAS!$G$56,S$7&lt;=TAREAS!$H$56,CALENDARIO!$C$114=1),"P",""),IF(ISNUMBER(SEARCH(TEXT(S$7,"yyyy-mm-dd"),TAREAS!$J$56)),IF(TAREAS!$I$56="Registro Git","R",IF(TAREAS!$I$56="Despliegue documentado","D","L")),""))</f>
        <v/>
      </c>
      <c r="T9" s="14" t="str">
        <f>IF(TAREAS!$I$56="Propuesta",IF(AND(T$7&gt;=TAREAS!$G$56,T$7&lt;=TAREAS!$H$56,CALENDARIO!$C$115=1),"P",""),IF(ISNUMBER(SEARCH(TEXT(T$7,"yyyy-mm-dd"),TAREAS!$J$56)),IF(TAREAS!$I$56="Registro Git","R",IF(TAREAS!$I$56="Despliegue documentado","D","L")),""))</f>
        <v/>
      </c>
      <c r="U9" s="14" t="str">
        <f>IF(TAREAS!$I$56="Propuesta",IF(AND(U$7&gt;=TAREAS!$G$56,U$7&lt;=TAREAS!$H$56,CALENDARIO!$C$116=1),"P",""),IF(ISNUMBER(SEARCH(TEXT(U$7,"yyyy-mm-dd"),TAREAS!$J$56)),IF(TAREAS!$I$56="Registro Git","R",IF(TAREAS!$I$56="Despliegue documentado","D","L")),""))</f>
        <v/>
      </c>
      <c r="V9" s="14" t="str">
        <f>IF(TAREAS!$I$56="Propuesta",IF(AND(V$7&gt;=TAREAS!$G$56,V$7&lt;=TAREAS!$H$56,CALENDARIO!$C$117=1),"P",""),IF(ISNUMBER(SEARCH(TEXT(V$7,"yyyy-mm-dd"),TAREAS!$J$56)),IF(TAREAS!$I$56="Registro Git","R",IF(TAREAS!$I$56="Despliegue documentado","D","L")),""))</f>
        <v/>
      </c>
      <c r="W9" s="15" t="str">
        <f>IF(TAREAS!$I$56="Propuesta",IF(AND(W$7&gt;=TAREAS!$G$56,W$7&lt;=TAREAS!$H$56,CALENDARIO!$C$118=1),"P",""),IF(ISNUMBER(SEARCH(TEXT(W$7,"yyyy-mm-dd"),TAREAS!$J$56)),IF(TAREAS!$I$56="Registro Git","R",IF(TAREAS!$I$56="Despliegue documentado","D","L")),""))</f>
        <v/>
      </c>
      <c r="X9" s="15" t="str">
        <f>IF(TAREAS!$I$56="Propuesta",IF(AND(X$7&gt;=TAREAS!$G$56,X$7&lt;=TAREAS!$H$56,CALENDARIO!$C$119=1),"P",""),IF(ISNUMBER(SEARCH(TEXT(X$7,"yyyy-mm-dd"),TAREAS!$J$56)),IF(TAREAS!$I$56="Registro Git","R",IF(TAREAS!$I$56="Despliegue documentado","D","L")),""))</f>
        <v/>
      </c>
      <c r="Y9" s="14" t="str">
        <f>IF(TAREAS!$I$56="Propuesta",IF(AND(Y$7&gt;=TAREAS!$G$56,Y$7&lt;=TAREAS!$H$56,CALENDARIO!$C$120=1),"P",""),IF(ISNUMBER(SEARCH(TEXT(Y$7,"yyyy-mm-dd"),TAREAS!$J$56)),IF(TAREAS!$I$56="Registro Git","R",IF(TAREAS!$I$56="Despliegue documentado","D","L")),""))</f>
        <v/>
      </c>
      <c r="Z9" s="14" t="str">
        <f>IF(TAREAS!$I$56="Propuesta",IF(AND(Z$7&gt;=TAREAS!$G$56,Z$7&lt;=TAREAS!$H$56,CALENDARIO!$C$121=1),"P",""),IF(ISNUMBER(SEARCH(TEXT(Z$7,"yyyy-mm-dd"),TAREAS!$J$56)),IF(TAREAS!$I$56="Registro Git","R",IF(TAREAS!$I$56="Despliegue documentado","D","L")),""))</f>
        <v/>
      </c>
      <c r="AA9" s="14" t="str">
        <f>IF(TAREAS!$I$56="Propuesta",IF(AND(AA$7&gt;=TAREAS!$G$56,AA$7&lt;=TAREAS!$H$56,CALENDARIO!$C$122=1),"P",""),IF(ISNUMBER(SEARCH(TEXT(AA$7,"yyyy-mm-dd"),TAREAS!$J$56)),IF(TAREAS!$I$56="Registro Git","R",IF(TAREAS!$I$56="Despliegue documentado","D","L")),""))</f>
        <v/>
      </c>
      <c r="AB9" s="14" t="str">
        <f>IF(TAREAS!$I$56="Propuesta",IF(AND(AB$7&gt;=TAREAS!$G$56,AB$7&lt;=TAREAS!$H$56,CALENDARIO!$C$123=1),"P",""),IF(ISNUMBER(SEARCH(TEXT(AB$7,"yyyy-mm-dd"),TAREAS!$J$56)),IF(TAREAS!$I$56="Registro Git","R",IF(TAREAS!$I$56="Despliegue documentado","D","L")),""))</f>
        <v/>
      </c>
      <c r="AC9" s="15" t="str">
        <f>IF(TAREAS!$I$56="Propuesta",IF(AND(AC$7&gt;=TAREAS!$G$56,AC$7&lt;=TAREAS!$H$56,CALENDARIO!$C$124=1),"P",""),IF(ISNUMBER(SEARCH(TEXT(AC$7,"yyyy-mm-dd"),TAREAS!$J$56)),IF(TAREAS!$I$56="Registro Git","R",IF(TAREAS!$I$56="Despliegue documentado","D","L")),""))</f>
        <v/>
      </c>
      <c r="AD9" s="15" t="str">
        <f>IF(TAREAS!$I$56="Propuesta",IF(AND(AD$7&gt;=TAREAS!$G$56,AD$7&lt;=TAREAS!$H$56,CALENDARIO!$C$125=1),"P",""),IF(ISNUMBER(SEARCH(TEXT(AD$7,"yyyy-mm-dd"),TAREAS!$J$56)),IF(TAREAS!$I$56="Registro Git","R",IF(TAREAS!$I$56="Despliegue documentado","D","L")),""))</f>
        <v/>
      </c>
      <c r="AE9" s="15" t="str">
        <f>IF(TAREAS!$I$56="Propuesta",IF(AND(AE$7&gt;=TAREAS!$G$56,AE$7&lt;=TAREAS!$H$56,CALENDARIO!$C$126=1),"P",""),IF(ISNUMBER(SEARCH(TEXT(AE$7,"yyyy-mm-dd"),TAREAS!$J$56)),IF(TAREAS!$I$56="Registro Git","R",IF(TAREAS!$I$56="Despliegue documentado","D","L")),""))</f>
        <v/>
      </c>
      <c r="AF9" s="14" t="str">
        <f>IF(TAREAS!$I$56="Propuesta",IF(AND(AF$7&gt;=TAREAS!$G$56,AF$7&lt;=TAREAS!$H$56,CALENDARIO!$C$127=1),"P",""),IF(ISNUMBER(SEARCH(TEXT(AF$7,"yyyy-mm-dd"),TAREAS!$J$56)),IF(TAREAS!$I$56="Registro Git","R",IF(TAREAS!$I$56="Despliegue documentado","D","L")),""))</f>
        <v/>
      </c>
      <c r="AG9" s="14" t="str">
        <f>IF(TAREAS!$I$56="Propuesta",IF(AND(AG$7&gt;=TAREAS!$G$56,AG$7&lt;=TAREAS!$H$56,CALENDARIO!$C$128=1),"P",""),IF(ISNUMBER(SEARCH(TEXT(AG$7,"yyyy-mm-dd"),TAREAS!$J$56)),IF(TAREAS!$I$56="Registro Git","R",IF(TAREAS!$I$56="Despliegue documentado","D","L")),""))</f>
        <v/>
      </c>
      <c r="AH9" s="14" t="str">
        <f>IF(TAREAS!$I$56="Propuesta",IF(AND(AH$7&gt;=TAREAS!$G$56,AH$7&lt;=TAREAS!$H$56,CALENDARIO!$C$129=1),"P",""),IF(ISNUMBER(SEARCH(TEXT(AH$7,"yyyy-mm-dd"),TAREAS!$J$56)),IF(TAREAS!$I$56="Registro Git","R",IF(TAREAS!$I$56="Despliegue documentado","D","L")),""))</f>
        <v/>
      </c>
      <c r="AI9" s="14" t="str">
        <f>IF(TAREAS!$I$56="Propuesta",IF(AND(AI$7&gt;=TAREAS!$G$56,AI$7&lt;=TAREAS!$H$56,CALENDARIO!$C$130=1),"P",""),IF(ISNUMBER(SEARCH(TEXT(AI$7,"yyyy-mm-dd"),TAREAS!$J$56)),IF(TAREAS!$I$56="Registro Git","R",IF(TAREAS!$I$56="Despliegue documentado","D","L")),""))</f>
        <v/>
      </c>
    </row>
    <row r="10" spans="1:35" ht="72" customHeight="1" x14ac:dyDescent="0.25">
      <c r="A10" s="20" t="str">
        <f>TAREAS!C57</f>
        <v>HU-G12 · Como Dirección, quiero validar la adopción y priorizar el siguiente periodo.</v>
      </c>
      <c r="B10" s="12" t="str">
        <f>TAREAS!A57&amp;" · "&amp;TAREAS!D57</f>
        <v>T-053 · Preparar capacitación y guías por rol</v>
      </c>
      <c r="C10" s="12" t="str">
        <f>TAREAS!F57</f>
        <v>Sistemas + RR. HH.</v>
      </c>
      <c r="D10" s="13">
        <f t="shared" si="0"/>
        <v>2</v>
      </c>
      <c r="E10" s="14" t="str">
        <f>IF(TAREAS!$I$57="Propuesta",IF(AND(E$7&gt;=TAREAS!$G$57,E$7&lt;=TAREAS!$H$57,CALENDARIO!$C$100=1),"P",""),IF(ISNUMBER(SEARCH(TEXT(E$7,"yyyy-mm-dd"),TAREAS!$J$57)),IF(TAREAS!$I$57="Registro Git","R",IF(TAREAS!$I$57="Despliegue documentado","D","L")),""))</f>
        <v/>
      </c>
      <c r="F10" s="14" t="str">
        <f>IF(TAREAS!$I$57="Propuesta",IF(AND(F$7&gt;=TAREAS!$G$57,F$7&lt;=TAREAS!$H$57,CALENDARIO!$C$101=1),"P",""),IF(ISNUMBER(SEARCH(TEXT(F$7,"yyyy-mm-dd"),TAREAS!$J$57)),IF(TAREAS!$I$57="Registro Git","R",IF(TAREAS!$I$57="Despliegue documentado","D","L")),""))</f>
        <v/>
      </c>
      <c r="G10" s="14" t="str">
        <f>IF(TAREAS!$I$57="Propuesta",IF(AND(G$7&gt;=TAREAS!$G$57,G$7&lt;=TAREAS!$H$57,CALENDARIO!$C$102=1),"P",""),IF(ISNUMBER(SEARCH(TEXT(G$7,"yyyy-mm-dd"),TAREAS!$J$57)),IF(TAREAS!$I$57="Registro Git","R",IF(TAREAS!$I$57="Despliegue documentado","D","L")),""))</f>
        <v/>
      </c>
      <c r="H10" s="14" t="str">
        <f>IF(TAREAS!$I$57="Propuesta",IF(AND(H$7&gt;=TAREAS!$G$57,H$7&lt;=TAREAS!$H$57,CALENDARIO!$C$103=1),"P",""),IF(ISNUMBER(SEARCH(TEXT(H$7,"yyyy-mm-dd"),TAREAS!$J$57)),IF(TAREAS!$I$57="Registro Git","R",IF(TAREAS!$I$57="Despliegue documentado","D","L")),""))</f>
        <v>P</v>
      </c>
      <c r="I10" s="15" t="str">
        <f>IF(TAREAS!$I$57="Propuesta",IF(AND(I$7&gt;=TAREAS!$G$57,I$7&lt;=TAREAS!$H$57,CALENDARIO!$C$104=1),"P",""),IF(ISNUMBER(SEARCH(TEXT(I$7,"yyyy-mm-dd"),TAREAS!$J$57)),IF(TAREAS!$I$57="Registro Git","R",IF(TAREAS!$I$57="Despliegue documentado","D","L")),""))</f>
        <v/>
      </c>
      <c r="J10" s="15" t="str">
        <f>IF(TAREAS!$I$57="Propuesta",IF(AND(J$7&gt;=TAREAS!$G$57,J$7&lt;=TAREAS!$H$57,CALENDARIO!$C$105=1),"P",""),IF(ISNUMBER(SEARCH(TEXT(J$7,"yyyy-mm-dd"),TAREAS!$J$57)),IF(TAREAS!$I$57="Registro Git","R",IF(TAREAS!$I$57="Despliegue documentado","D","L")),""))</f>
        <v/>
      </c>
      <c r="K10" s="14" t="str">
        <f>IF(TAREAS!$I$57="Propuesta",IF(AND(K$7&gt;=TAREAS!$G$57,K$7&lt;=TAREAS!$H$57,CALENDARIO!$C$106=1),"P",""),IF(ISNUMBER(SEARCH(TEXT(K$7,"yyyy-mm-dd"),TAREAS!$J$57)),IF(TAREAS!$I$57="Registro Git","R",IF(TAREAS!$I$57="Despliegue documentado","D","L")),""))</f>
        <v>P</v>
      </c>
      <c r="L10" s="15" t="str">
        <f>IF(TAREAS!$I$57="Propuesta",IF(AND(L$7&gt;=TAREAS!$G$57,L$7&lt;=TAREAS!$H$57,CALENDARIO!$C$107=1),"P",""),IF(ISNUMBER(SEARCH(TEXT(L$7,"yyyy-mm-dd"),TAREAS!$J$57)),IF(TAREAS!$I$57="Registro Git","R",IF(TAREAS!$I$57="Despliegue documentado","D","L")),""))</f>
        <v/>
      </c>
      <c r="M10" s="15" t="str">
        <f>IF(TAREAS!$I$57="Propuesta",IF(AND(M$7&gt;=TAREAS!$G$57,M$7&lt;=TAREAS!$H$57,CALENDARIO!$C$108=1),"P",""),IF(ISNUMBER(SEARCH(TEXT(M$7,"yyyy-mm-dd"),TAREAS!$J$57)),IF(TAREAS!$I$57="Registro Git","R",IF(TAREAS!$I$57="Despliegue documentado","D","L")),""))</f>
        <v/>
      </c>
      <c r="N10" s="14" t="str">
        <f>IF(TAREAS!$I$57="Propuesta",IF(AND(N$7&gt;=TAREAS!$G$57,N$7&lt;=TAREAS!$H$57,CALENDARIO!$C$109=1),"P",""),IF(ISNUMBER(SEARCH(TEXT(N$7,"yyyy-mm-dd"),TAREAS!$J$57)),IF(TAREAS!$I$57="Registro Git","R",IF(TAREAS!$I$57="Despliegue documentado","D","L")),""))</f>
        <v/>
      </c>
      <c r="O10" s="14" t="str">
        <f>IF(TAREAS!$I$57="Propuesta",IF(AND(O$7&gt;=TAREAS!$G$57,O$7&lt;=TAREAS!$H$57,CALENDARIO!$C$110=1),"P",""),IF(ISNUMBER(SEARCH(TEXT(O$7,"yyyy-mm-dd"),TAREAS!$J$57)),IF(TAREAS!$I$57="Registro Git","R",IF(TAREAS!$I$57="Despliegue documentado","D","L")),""))</f>
        <v/>
      </c>
      <c r="P10" s="15" t="str">
        <f>IF(TAREAS!$I$57="Propuesta",IF(AND(P$7&gt;=TAREAS!$G$57,P$7&lt;=TAREAS!$H$57,CALENDARIO!$C$111=1),"P",""),IF(ISNUMBER(SEARCH(TEXT(P$7,"yyyy-mm-dd"),TAREAS!$J$57)),IF(TAREAS!$I$57="Registro Git","R",IF(TAREAS!$I$57="Despliegue documentado","D","L")),""))</f>
        <v/>
      </c>
      <c r="Q10" s="15" t="str">
        <f>IF(TAREAS!$I$57="Propuesta",IF(AND(Q$7&gt;=TAREAS!$G$57,Q$7&lt;=TAREAS!$H$57,CALENDARIO!$C$112=1),"P",""),IF(ISNUMBER(SEARCH(TEXT(Q$7,"yyyy-mm-dd"),TAREAS!$J$57)),IF(TAREAS!$I$57="Registro Git","R",IF(TAREAS!$I$57="Despliegue documentado","D","L")),""))</f>
        <v/>
      </c>
      <c r="R10" s="14" t="str">
        <f>IF(TAREAS!$I$57="Propuesta",IF(AND(R$7&gt;=TAREAS!$G$57,R$7&lt;=TAREAS!$H$57,CALENDARIO!$C$113=1),"P",""),IF(ISNUMBER(SEARCH(TEXT(R$7,"yyyy-mm-dd"),TAREAS!$J$57)),IF(TAREAS!$I$57="Registro Git","R",IF(TAREAS!$I$57="Despliegue documentado","D","L")),""))</f>
        <v/>
      </c>
      <c r="S10" s="14" t="str">
        <f>IF(TAREAS!$I$57="Propuesta",IF(AND(S$7&gt;=TAREAS!$G$57,S$7&lt;=TAREAS!$H$57,CALENDARIO!$C$114=1),"P",""),IF(ISNUMBER(SEARCH(TEXT(S$7,"yyyy-mm-dd"),TAREAS!$J$57)),IF(TAREAS!$I$57="Registro Git","R",IF(TAREAS!$I$57="Despliegue documentado","D","L")),""))</f>
        <v/>
      </c>
      <c r="T10" s="14" t="str">
        <f>IF(TAREAS!$I$57="Propuesta",IF(AND(T$7&gt;=TAREAS!$G$57,T$7&lt;=TAREAS!$H$57,CALENDARIO!$C$115=1),"P",""),IF(ISNUMBER(SEARCH(TEXT(T$7,"yyyy-mm-dd"),TAREAS!$J$57)),IF(TAREAS!$I$57="Registro Git","R",IF(TAREAS!$I$57="Despliegue documentado","D","L")),""))</f>
        <v/>
      </c>
      <c r="U10" s="14" t="str">
        <f>IF(TAREAS!$I$57="Propuesta",IF(AND(U$7&gt;=TAREAS!$G$57,U$7&lt;=TAREAS!$H$57,CALENDARIO!$C$116=1),"P",""),IF(ISNUMBER(SEARCH(TEXT(U$7,"yyyy-mm-dd"),TAREAS!$J$57)),IF(TAREAS!$I$57="Registro Git","R",IF(TAREAS!$I$57="Despliegue documentado","D","L")),""))</f>
        <v/>
      </c>
      <c r="V10" s="14" t="str">
        <f>IF(TAREAS!$I$57="Propuesta",IF(AND(V$7&gt;=TAREAS!$G$57,V$7&lt;=TAREAS!$H$57,CALENDARIO!$C$117=1),"P",""),IF(ISNUMBER(SEARCH(TEXT(V$7,"yyyy-mm-dd"),TAREAS!$J$57)),IF(TAREAS!$I$57="Registro Git","R",IF(TAREAS!$I$57="Despliegue documentado","D","L")),""))</f>
        <v/>
      </c>
      <c r="W10" s="15" t="str">
        <f>IF(TAREAS!$I$57="Propuesta",IF(AND(W$7&gt;=TAREAS!$G$57,W$7&lt;=TAREAS!$H$57,CALENDARIO!$C$118=1),"P",""),IF(ISNUMBER(SEARCH(TEXT(W$7,"yyyy-mm-dd"),TAREAS!$J$57)),IF(TAREAS!$I$57="Registro Git","R",IF(TAREAS!$I$57="Despliegue documentado","D","L")),""))</f>
        <v/>
      </c>
      <c r="X10" s="15" t="str">
        <f>IF(TAREAS!$I$57="Propuesta",IF(AND(X$7&gt;=TAREAS!$G$57,X$7&lt;=TAREAS!$H$57,CALENDARIO!$C$119=1),"P",""),IF(ISNUMBER(SEARCH(TEXT(X$7,"yyyy-mm-dd"),TAREAS!$J$57)),IF(TAREAS!$I$57="Registro Git","R",IF(TAREAS!$I$57="Despliegue documentado","D","L")),""))</f>
        <v/>
      </c>
      <c r="Y10" s="14" t="str">
        <f>IF(TAREAS!$I$57="Propuesta",IF(AND(Y$7&gt;=TAREAS!$G$57,Y$7&lt;=TAREAS!$H$57,CALENDARIO!$C$120=1),"P",""),IF(ISNUMBER(SEARCH(TEXT(Y$7,"yyyy-mm-dd"),TAREAS!$J$57)),IF(TAREAS!$I$57="Registro Git","R",IF(TAREAS!$I$57="Despliegue documentado","D","L")),""))</f>
        <v/>
      </c>
      <c r="Z10" s="14" t="str">
        <f>IF(TAREAS!$I$57="Propuesta",IF(AND(Z$7&gt;=TAREAS!$G$57,Z$7&lt;=TAREAS!$H$57,CALENDARIO!$C$121=1),"P",""),IF(ISNUMBER(SEARCH(TEXT(Z$7,"yyyy-mm-dd"),TAREAS!$J$57)),IF(TAREAS!$I$57="Registro Git","R",IF(TAREAS!$I$57="Despliegue documentado","D","L")),""))</f>
        <v/>
      </c>
      <c r="AA10" s="14" t="str">
        <f>IF(TAREAS!$I$57="Propuesta",IF(AND(AA$7&gt;=TAREAS!$G$57,AA$7&lt;=TAREAS!$H$57,CALENDARIO!$C$122=1),"P",""),IF(ISNUMBER(SEARCH(TEXT(AA$7,"yyyy-mm-dd"),TAREAS!$J$57)),IF(TAREAS!$I$57="Registro Git","R",IF(TAREAS!$I$57="Despliegue documentado","D","L")),""))</f>
        <v/>
      </c>
      <c r="AB10" s="14" t="str">
        <f>IF(TAREAS!$I$57="Propuesta",IF(AND(AB$7&gt;=TAREAS!$G$57,AB$7&lt;=TAREAS!$H$57,CALENDARIO!$C$123=1),"P",""),IF(ISNUMBER(SEARCH(TEXT(AB$7,"yyyy-mm-dd"),TAREAS!$J$57)),IF(TAREAS!$I$57="Registro Git","R",IF(TAREAS!$I$57="Despliegue documentado","D","L")),""))</f>
        <v/>
      </c>
      <c r="AC10" s="15" t="str">
        <f>IF(TAREAS!$I$57="Propuesta",IF(AND(AC$7&gt;=TAREAS!$G$57,AC$7&lt;=TAREAS!$H$57,CALENDARIO!$C$124=1),"P",""),IF(ISNUMBER(SEARCH(TEXT(AC$7,"yyyy-mm-dd"),TAREAS!$J$57)),IF(TAREAS!$I$57="Registro Git","R",IF(TAREAS!$I$57="Despliegue documentado","D","L")),""))</f>
        <v/>
      </c>
      <c r="AD10" s="15" t="str">
        <f>IF(TAREAS!$I$57="Propuesta",IF(AND(AD$7&gt;=TAREAS!$G$57,AD$7&lt;=TAREAS!$H$57,CALENDARIO!$C$125=1),"P",""),IF(ISNUMBER(SEARCH(TEXT(AD$7,"yyyy-mm-dd"),TAREAS!$J$57)),IF(TAREAS!$I$57="Registro Git","R",IF(TAREAS!$I$57="Despliegue documentado","D","L")),""))</f>
        <v/>
      </c>
      <c r="AE10" s="15" t="str">
        <f>IF(TAREAS!$I$57="Propuesta",IF(AND(AE$7&gt;=TAREAS!$G$57,AE$7&lt;=TAREAS!$H$57,CALENDARIO!$C$126=1),"P",""),IF(ISNUMBER(SEARCH(TEXT(AE$7,"yyyy-mm-dd"),TAREAS!$J$57)),IF(TAREAS!$I$57="Registro Git","R",IF(TAREAS!$I$57="Despliegue documentado","D","L")),""))</f>
        <v/>
      </c>
      <c r="AF10" s="14" t="str">
        <f>IF(TAREAS!$I$57="Propuesta",IF(AND(AF$7&gt;=TAREAS!$G$57,AF$7&lt;=TAREAS!$H$57,CALENDARIO!$C$127=1),"P",""),IF(ISNUMBER(SEARCH(TEXT(AF$7,"yyyy-mm-dd"),TAREAS!$J$57)),IF(TAREAS!$I$57="Registro Git","R",IF(TAREAS!$I$57="Despliegue documentado","D","L")),""))</f>
        <v/>
      </c>
      <c r="AG10" s="14" t="str">
        <f>IF(TAREAS!$I$57="Propuesta",IF(AND(AG$7&gt;=TAREAS!$G$57,AG$7&lt;=TAREAS!$H$57,CALENDARIO!$C$128=1),"P",""),IF(ISNUMBER(SEARCH(TEXT(AG$7,"yyyy-mm-dd"),TAREAS!$J$57)),IF(TAREAS!$I$57="Registro Git","R",IF(TAREAS!$I$57="Despliegue documentado","D","L")),""))</f>
        <v/>
      </c>
      <c r="AH10" s="14" t="str">
        <f>IF(TAREAS!$I$57="Propuesta",IF(AND(AH$7&gt;=TAREAS!$G$57,AH$7&lt;=TAREAS!$H$57,CALENDARIO!$C$129=1),"P",""),IF(ISNUMBER(SEARCH(TEXT(AH$7,"yyyy-mm-dd"),TAREAS!$J$57)),IF(TAREAS!$I$57="Registro Git","R",IF(TAREAS!$I$57="Despliegue documentado","D","L")),""))</f>
        <v/>
      </c>
      <c r="AI10" s="14" t="str">
        <f>IF(TAREAS!$I$57="Propuesta",IF(AND(AI$7&gt;=TAREAS!$G$57,AI$7&lt;=TAREAS!$H$57,CALENDARIO!$C$130=1),"P",""),IF(ISNUMBER(SEARCH(TEXT(AI$7,"yyyy-mm-dd"),TAREAS!$J$57)),IF(TAREAS!$I$57="Registro Git","R",IF(TAREAS!$I$57="Despliegue documentado","D","L")),""))</f>
        <v/>
      </c>
    </row>
    <row r="11" spans="1:35" ht="72" customHeight="1" x14ac:dyDescent="0.25">
      <c r="A11" s="20" t="str">
        <f>TAREAS!C58</f>
        <v>HU-G12 · Como Dirección, quiero validar la adopción y priorizar el siguiente periodo.</v>
      </c>
      <c r="B11" s="12" t="str">
        <f>TAREAS!A58&amp;" · "&amp;TAREAS!D58</f>
        <v>T-054 · Aceptación con Salud ocupacional, Psicología y Clínica</v>
      </c>
      <c r="C11" s="12" t="str">
        <f>TAREAS!F58</f>
        <v>QA + responsables de área</v>
      </c>
      <c r="D11" s="13">
        <f t="shared" si="0"/>
        <v>2</v>
      </c>
      <c r="E11" s="14" t="str">
        <f>IF(TAREAS!$I$58="Propuesta",IF(AND(E$7&gt;=TAREAS!$G$58,E$7&lt;=TAREAS!$H$58,CALENDARIO!$C$100=1),"P",""),IF(ISNUMBER(SEARCH(TEXT(E$7,"yyyy-mm-dd"),TAREAS!$J$58)),IF(TAREAS!$I$58="Registro Git","R",IF(TAREAS!$I$58="Despliegue documentado","D","L")),""))</f>
        <v/>
      </c>
      <c r="F11" s="14" t="str">
        <f>IF(TAREAS!$I$58="Propuesta",IF(AND(F$7&gt;=TAREAS!$G$58,F$7&lt;=TAREAS!$H$58,CALENDARIO!$C$101=1),"P",""),IF(ISNUMBER(SEARCH(TEXT(F$7,"yyyy-mm-dd"),TAREAS!$J$58)),IF(TAREAS!$I$58="Registro Git","R",IF(TAREAS!$I$58="Despliegue documentado","D","L")),""))</f>
        <v/>
      </c>
      <c r="G11" s="14" t="str">
        <f>IF(TAREAS!$I$58="Propuesta",IF(AND(G$7&gt;=TAREAS!$G$58,G$7&lt;=TAREAS!$H$58,CALENDARIO!$C$102=1),"P",""),IF(ISNUMBER(SEARCH(TEXT(G$7,"yyyy-mm-dd"),TAREAS!$J$58)),IF(TAREAS!$I$58="Registro Git","R",IF(TAREAS!$I$58="Despliegue documentado","D","L")),""))</f>
        <v/>
      </c>
      <c r="H11" s="14" t="str">
        <f>IF(TAREAS!$I$58="Propuesta",IF(AND(H$7&gt;=TAREAS!$G$58,H$7&lt;=TAREAS!$H$58,CALENDARIO!$C$103=1),"P",""),IF(ISNUMBER(SEARCH(TEXT(H$7,"yyyy-mm-dd"),TAREAS!$J$58)),IF(TAREAS!$I$58="Registro Git","R",IF(TAREAS!$I$58="Despliegue documentado","D","L")),""))</f>
        <v/>
      </c>
      <c r="I11" s="15" t="str">
        <f>IF(TAREAS!$I$58="Propuesta",IF(AND(I$7&gt;=TAREAS!$G$58,I$7&lt;=TAREAS!$H$58,CALENDARIO!$C$104=1),"P",""),IF(ISNUMBER(SEARCH(TEXT(I$7,"yyyy-mm-dd"),TAREAS!$J$58)),IF(TAREAS!$I$58="Registro Git","R",IF(TAREAS!$I$58="Despliegue documentado","D","L")),""))</f>
        <v/>
      </c>
      <c r="J11" s="15" t="str">
        <f>IF(TAREAS!$I$58="Propuesta",IF(AND(J$7&gt;=TAREAS!$G$58,J$7&lt;=TAREAS!$H$58,CALENDARIO!$C$105=1),"P",""),IF(ISNUMBER(SEARCH(TEXT(J$7,"yyyy-mm-dd"),TAREAS!$J$58)),IF(TAREAS!$I$58="Registro Git","R",IF(TAREAS!$I$58="Despliegue documentado","D","L")),""))</f>
        <v/>
      </c>
      <c r="K11" s="14" t="str">
        <f>IF(TAREAS!$I$58="Propuesta",IF(AND(K$7&gt;=TAREAS!$G$58,K$7&lt;=TAREAS!$H$58,CALENDARIO!$C$106=1),"P",""),IF(ISNUMBER(SEARCH(TEXT(K$7,"yyyy-mm-dd"),TAREAS!$J$58)),IF(TAREAS!$I$58="Registro Git","R",IF(TAREAS!$I$58="Despliegue documentado","D","L")),""))</f>
        <v/>
      </c>
      <c r="L11" s="15" t="str">
        <f>IF(TAREAS!$I$58="Propuesta",IF(AND(L$7&gt;=TAREAS!$G$58,L$7&lt;=TAREAS!$H$58,CALENDARIO!$C$107=1),"P",""),IF(ISNUMBER(SEARCH(TEXT(L$7,"yyyy-mm-dd"),TAREAS!$J$58)),IF(TAREAS!$I$58="Registro Git","R",IF(TAREAS!$I$58="Despliegue documentado","D","L")),""))</f>
        <v/>
      </c>
      <c r="M11" s="15" t="str">
        <f>IF(TAREAS!$I$58="Propuesta",IF(AND(M$7&gt;=TAREAS!$G$58,M$7&lt;=TAREAS!$H$58,CALENDARIO!$C$108=1),"P",""),IF(ISNUMBER(SEARCH(TEXT(M$7,"yyyy-mm-dd"),TAREAS!$J$58)),IF(TAREAS!$I$58="Registro Git","R",IF(TAREAS!$I$58="Despliegue documentado","D","L")),""))</f>
        <v/>
      </c>
      <c r="N11" s="14" t="str">
        <f>IF(TAREAS!$I$58="Propuesta",IF(AND(N$7&gt;=TAREAS!$G$58,N$7&lt;=TAREAS!$H$58,CALENDARIO!$C$109=1),"P",""),IF(ISNUMBER(SEARCH(TEXT(N$7,"yyyy-mm-dd"),TAREAS!$J$58)),IF(TAREAS!$I$58="Registro Git","R",IF(TAREAS!$I$58="Despliegue documentado","D","L")),""))</f>
        <v>P</v>
      </c>
      <c r="O11" s="14" t="str">
        <f>IF(TAREAS!$I$58="Propuesta",IF(AND(O$7&gt;=TAREAS!$G$58,O$7&lt;=TAREAS!$H$58,CALENDARIO!$C$110=1),"P",""),IF(ISNUMBER(SEARCH(TEXT(O$7,"yyyy-mm-dd"),TAREAS!$J$58)),IF(TAREAS!$I$58="Registro Git","R",IF(TAREAS!$I$58="Despliegue documentado","D","L")),""))</f>
        <v>P</v>
      </c>
      <c r="P11" s="15" t="str">
        <f>IF(TAREAS!$I$58="Propuesta",IF(AND(P$7&gt;=TAREAS!$G$58,P$7&lt;=TAREAS!$H$58,CALENDARIO!$C$111=1),"P",""),IF(ISNUMBER(SEARCH(TEXT(P$7,"yyyy-mm-dd"),TAREAS!$J$58)),IF(TAREAS!$I$58="Registro Git","R",IF(TAREAS!$I$58="Despliegue documentado","D","L")),""))</f>
        <v/>
      </c>
      <c r="Q11" s="15" t="str">
        <f>IF(TAREAS!$I$58="Propuesta",IF(AND(Q$7&gt;=TAREAS!$G$58,Q$7&lt;=TAREAS!$H$58,CALENDARIO!$C$112=1),"P",""),IF(ISNUMBER(SEARCH(TEXT(Q$7,"yyyy-mm-dd"),TAREAS!$J$58)),IF(TAREAS!$I$58="Registro Git","R",IF(TAREAS!$I$58="Despliegue documentado","D","L")),""))</f>
        <v/>
      </c>
      <c r="R11" s="14" t="str">
        <f>IF(TAREAS!$I$58="Propuesta",IF(AND(R$7&gt;=TAREAS!$G$58,R$7&lt;=TAREAS!$H$58,CALENDARIO!$C$113=1),"P",""),IF(ISNUMBER(SEARCH(TEXT(R$7,"yyyy-mm-dd"),TAREAS!$J$58)),IF(TAREAS!$I$58="Registro Git","R",IF(TAREAS!$I$58="Despliegue documentado","D","L")),""))</f>
        <v/>
      </c>
      <c r="S11" s="14" t="str">
        <f>IF(TAREAS!$I$58="Propuesta",IF(AND(S$7&gt;=TAREAS!$G$58,S$7&lt;=TAREAS!$H$58,CALENDARIO!$C$114=1),"P",""),IF(ISNUMBER(SEARCH(TEXT(S$7,"yyyy-mm-dd"),TAREAS!$J$58)),IF(TAREAS!$I$58="Registro Git","R",IF(TAREAS!$I$58="Despliegue documentado","D","L")),""))</f>
        <v/>
      </c>
      <c r="T11" s="14" t="str">
        <f>IF(TAREAS!$I$58="Propuesta",IF(AND(T$7&gt;=TAREAS!$G$58,T$7&lt;=TAREAS!$H$58,CALENDARIO!$C$115=1),"P",""),IF(ISNUMBER(SEARCH(TEXT(T$7,"yyyy-mm-dd"),TAREAS!$J$58)),IF(TAREAS!$I$58="Registro Git","R",IF(TAREAS!$I$58="Despliegue documentado","D","L")),""))</f>
        <v/>
      </c>
      <c r="U11" s="14" t="str">
        <f>IF(TAREAS!$I$58="Propuesta",IF(AND(U$7&gt;=TAREAS!$G$58,U$7&lt;=TAREAS!$H$58,CALENDARIO!$C$116=1),"P",""),IF(ISNUMBER(SEARCH(TEXT(U$7,"yyyy-mm-dd"),TAREAS!$J$58)),IF(TAREAS!$I$58="Registro Git","R",IF(TAREAS!$I$58="Despliegue documentado","D","L")),""))</f>
        <v/>
      </c>
      <c r="V11" s="14" t="str">
        <f>IF(TAREAS!$I$58="Propuesta",IF(AND(V$7&gt;=TAREAS!$G$58,V$7&lt;=TAREAS!$H$58,CALENDARIO!$C$117=1),"P",""),IF(ISNUMBER(SEARCH(TEXT(V$7,"yyyy-mm-dd"),TAREAS!$J$58)),IF(TAREAS!$I$58="Registro Git","R",IF(TAREAS!$I$58="Despliegue documentado","D","L")),""))</f>
        <v/>
      </c>
      <c r="W11" s="15" t="str">
        <f>IF(TAREAS!$I$58="Propuesta",IF(AND(W$7&gt;=TAREAS!$G$58,W$7&lt;=TAREAS!$H$58,CALENDARIO!$C$118=1),"P",""),IF(ISNUMBER(SEARCH(TEXT(W$7,"yyyy-mm-dd"),TAREAS!$J$58)),IF(TAREAS!$I$58="Registro Git","R",IF(TAREAS!$I$58="Despliegue documentado","D","L")),""))</f>
        <v/>
      </c>
      <c r="X11" s="15" t="str">
        <f>IF(TAREAS!$I$58="Propuesta",IF(AND(X$7&gt;=TAREAS!$G$58,X$7&lt;=TAREAS!$H$58,CALENDARIO!$C$119=1),"P",""),IF(ISNUMBER(SEARCH(TEXT(X$7,"yyyy-mm-dd"),TAREAS!$J$58)),IF(TAREAS!$I$58="Registro Git","R",IF(TAREAS!$I$58="Despliegue documentado","D","L")),""))</f>
        <v/>
      </c>
      <c r="Y11" s="14" t="str">
        <f>IF(TAREAS!$I$58="Propuesta",IF(AND(Y$7&gt;=TAREAS!$G$58,Y$7&lt;=TAREAS!$H$58,CALENDARIO!$C$120=1),"P",""),IF(ISNUMBER(SEARCH(TEXT(Y$7,"yyyy-mm-dd"),TAREAS!$J$58)),IF(TAREAS!$I$58="Registro Git","R",IF(TAREAS!$I$58="Despliegue documentado","D","L")),""))</f>
        <v/>
      </c>
      <c r="Z11" s="14" t="str">
        <f>IF(TAREAS!$I$58="Propuesta",IF(AND(Z$7&gt;=TAREAS!$G$58,Z$7&lt;=TAREAS!$H$58,CALENDARIO!$C$121=1),"P",""),IF(ISNUMBER(SEARCH(TEXT(Z$7,"yyyy-mm-dd"),TAREAS!$J$58)),IF(TAREAS!$I$58="Registro Git","R",IF(TAREAS!$I$58="Despliegue documentado","D","L")),""))</f>
        <v/>
      </c>
      <c r="AA11" s="14" t="str">
        <f>IF(TAREAS!$I$58="Propuesta",IF(AND(AA$7&gt;=TAREAS!$G$58,AA$7&lt;=TAREAS!$H$58,CALENDARIO!$C$122=1),"P",""),IF(ISNUMBER(SEARCH(TEXT(AA$7,"yyyy-mm-dd"),TAREAS!$J$58)),IF(TAREAS!$I$58="Registro Git","R",IF(TAREAS!$I$58="Despliegue documentado","D","L")),""))</f>
        <v/>
      </c>
      <c r="AB11" s="14" t="str">
        <f>IF(TAREAS!$I$58="Propuesta",IF(AND(AB$7&gt;=TAREAS!$G$58,AB$7&lt;=TAREAS!$H$58,CALENDARIO!$C$123=1),"P",""),IF(ISNUMBER(SEARCH(TEXT(AB$7,"yyyy-mm-dd"),TAREAS!$J$58)),IF(TAREAS!$I$58="Registro Git","R",IF(TAREAS!$I$58="Despliegue documentado","D","L")),""))</f>
        <v/>
      </c>
      <c r="AC11" s="15" t="str">
        <f>IF(TAREAS!$I$58="Propuesta",IF(AND(AC$7&gt;=TAREAS!$G$58,AC$7&lt;=TAREAS!$H$58,CALENDARIO!$C$124=1),"P",""),IF(ISNUMBER(SEARCH(TEXT(AC$7,"yyyy-mm-dd"),TAREAS!$J$58)),IF(TAREAS!$I$58="Registro Git","R",IF(TAREAS!$I$58="Despliegue documentado","D","L")),""))</f>
        <v/>
      </c>
      <c r="AD11" s="15" t="str">
        <f>IF(TAREAS!$I$58="Propuesta",IF(AND(AD$7&gt;=TAREAS!$G$58,AD$7&lt;=TAREAS!$H$58,CALENDARIO!$C$125=1),"P",""),IF(ISNUMBER(SEARCH(TEXT(AD$7,"yyyy-mm-dd"),TAREAS!$J$58)),IF(TAREAS!$I$58="Registro Git","R",IF(TAREAS!$I$58="Despliegue documentado","D","L")),""))</f>
        <v/>
      </c>
      <c r="AE11" s="15" t="str">
        <f>IF(TAREAS!$I$58="Propuesta",IF(AND(AE$7&gt;=TAREAS!$G$58,AE$7&lt;=TAREAS!$H$58,CALENDARIO!$C$126=1),"P",""),IF(ISNUMBER(SEARCH(TEXT(AE$7,"yyyy-mm-dd"),TAREAS!$J$58)),IF(TAREAS!$I$58="Registro Git","R",IF(TAREAS!$I$58="Despliegue documentado","D","L")),""))</f>
        <v/>
      </c>
      <c r="AF11" s="14" t="str">
        <f>IF(TAREAS!$I$58="Propuesta",IF(AND(AF$7&gt;=TAREAS!$G$58,AF$7&lt;=TAREAS!$H$58,CALENDARIO!$C$127=1),"P",""),IF(ISNUMBER(SEARCH(TEXT(AF$7,"yyyy-mm-dd"),TAREAS!$J$58)),IF(TAREAS!$I$58="Registro Git","R",IF(TAREAS!$I$58="Despliegue documentado","D","L")),""))</f>
        <v/>
      </c>
      <c r="AG11" s="14" t="str">
        <f>IF(TAREAS!$I$58="Propuesta",IF(AND(AG$7&gt;=TAREAS!$G$58,AG$7&lt;=TAREAS!$H$58,CALENDARIO!$C$128=1),"P",""),IF(ISNUMBER(SEARCH(TEXT(AG$7,"yyyy-mm-dd"),TAREAS!$J$58)),IF(TAREAS!$I$58="Registro Git","R",IF(TAREAS!$I$58="Despliegue documentado","D","L")),""))</f>
        <v/>
      </c>
      <c r="AH11" s="14" t="str">
        <f>IF(TAREAS!$I$58="Propuesta",IF(AND(AH$7&gt;=TAREAS!$G$58,AH$7&lt;=TAREAS!$H$58,CALENDARIO!$C$129=1),"P",""),IF(ISNUMBER(SEARCH(TEXT(AH$7,"yyyy-mm-dd"),TAREAS!$J$58)),IF(TAREAS!$I$58="Registro Git","R",IF(TAREAS!$I$58="Despliegue documentado","D","L")),""))</f>
        <v/>
      </c>
      <c r="AI11" s="14" t="str">
        <f>IF(TAREAS!$I$58="Propuesta",IF(AND(AI$7&gt;=TAREAS!$G$58,AI$7&lt;=TAREAS!$H$58,CALENDARIO!$C$130=1),"P",""),IF(ISNUMBER(SEARCH(TEXT(AI$7,"yyyy-mm-dd"),TAREAS!$J$58)),IF(TAREAS!$I$58="Registro Git","R",IF(TAREAS!$I$58="Despliegue documentado","D","L")),""))</f>
        <v/>
      </c>
    </row>
    <row r="12" spans="1:35" ht="72" customHeight="1" x14ac:dyDescent="0.25">
      <c r="A12" s="20" t="str">
        <f>TAREAS!C59</f>
        <v>HU-G12 · Como Dirección, quiero validar la adopción y priorizar el siguiente periodo.</v>
      </c>
      <c r="B12" s="12" t="str">
        <f>TAREAS!A59&amp;" · "&amp;TAREAS!D59</f>
        <v>T-055 · Aceptación con RR. HH., Reclutamiento y Contabilidad</v>
      </c>
      <c r="C12" s="12" t="str">
        <f>TAREAS!F59</f>
        <v>QA + responsables de área</v>
      </c>
      <c r="D12" s="13">
        <f t="shared" si="0"/>
        <v>2</v>
      </c>
      <c r="E12" s="14" t="str">
        <f>IF(TAREAS!$I$59="Propuesta",IF(AND(E$7&gt;=TAREAS!$G$59,E$7&lt;=TAREAS!$H$59,CALENDARIO!$C$100=1),"P",""),IF(ISNUMBER(SEARCH(TEXT(E$7,"yyyy-mm-dd"),TAREAS!$J$59)),IF(TAREAS!$I$59="Registro Git","R",IF(TAREAS!$I$59="Despliegue documentado","D","L")),""))</f>
        <v/>
      </c>
      <c r="F12" s="14" t="str">
        <f>IF(TAREAS!$I$59="Propuesta",IF(AND(F$7&gt;=TAREAS!$G$59,F$7&lt;=TAREAS!$H$59,CALENDARIO!$C$101=1),"P",""),IF(ISNUMBER(SEARCH(TEXT(F$7,"yyyy-mm-dd"),TAREAS!$J$59)),IF(TAREAS!$I$59="Registro Git","R",IF(TAREAS!$I$59="Despliegue documentado","D","L")),""))</f>
        <v/>
      </c>
      <c r="G12" s="14" t="str">
        <f>IF(TAREAS!$I$59="Propuesta",IF(AND(G$7&gt;=TAREAS!$G$59,G$7&lt;=TAREAS!$H$59,CALENDARIO!$C$102=1),"P",""),IF(ISNUMBER(SEARCH(TEXT(G$7,"yyyy-mm-dd"),TAREAS!$J$59)),IF(TAREAS!$I$59="Registro Git","R",IF(TAREAS!$I$59="Despliegue documentado","D","L")),""))</f>
        <v/>
      </c>
      <c r="H12" s="14" t="str">
        <f>IF(TAREAS!$I$59="Propuesta",IF(AND(H$7&gt;=TAREAS!$G$59,H$7&lt;=TAREAS!$H$59,CALENDARIO!$C$103=1),"P",""),IF(ISNUMBER(SEARCH(TEXT(H$7,"yyyy-mm-dd"),TAREAS!$J$59)),IF(TAREAS!$I$59="Registro Git","R",IF(TAREAS!$I$59="Despliegue documentado","D","L")),""))</f>
        <v/>
      </c>
      <c r="I12" s="15" t="str">
        <f>IF(TAREAS!$I$59="Propuesta",IF(AND(I$7&gt;=TAREAS!$G$59,I$7&lt;=TAREAS!$H$59,CALENDARIO!$C$104=1),"P",""),IF(ISNUMBER(SEARCH(TEXT(I$7,"yyyy-mm-dd"),TAREAS!$J$59)),IF(TAREAS!$I$59="Registro Git","R",IF(TAREAS!$I$59="Despliegue documentado","D","L")),""))</f>
        <v/>
      </c>
      <c r="J12" s="15" t="str">
        <f>IF(TAREAS!$I$59="Propuesta",IF(AND(J$7&gt;=TAREAS!$G$59,J$7&lt;=TAREAS!$H$59,CALENDARIO!$C$105=1),"P",""),IF(ISNUMBER(SEARCH(TEXT(J$7,"yyyy-mm-dd"),TAREAS!$J$59)),IF(TAREAS!$I$59="Registro Git","R",IF(TAREAS!$I$59="Despliegue documentado","D","L")),""))</f>
        <v/>
      </c>
      <c r="K12" s="14" t="str">
        <f>IF(TAREAS!$I$59="Propuesta",IF(AND(K$7&gt;=TAREAS!$G$59,K$7&lt;=TAREAS!$H$59,CALENDARIO!$C$106=1),"P",""),IF(ISNUMBER(SEARCH(TEXT(K$7,"yyyy-mm-dd"),TAREAS!$J$59)),IF(TAREAS!$I$59="Registro Git","R",IF(TAREAS!$I$59="Despliegue documentado","D","L")),""))</f>
        <v/>
      </c>
      <c r="L12" s="15" t="str">
        <f>IF(TAREAS!$I$59="Propuesta",IF(AND(L$7&gt;=TAREAS!$G$59,L$7&lt;=TAREAS!$H$59,CALENDARIO!$C$107=1),"P",""),IF(ISNUMBER(SEARCH(TEXT(L$7,"yyyy-mm-dd"),TAREAS!$J$59)),IF(TAREAS!$I$59="Registro Git","R",IF(TAREAS!$I$59="Despliegue documentado","D","L")),""))</f>
        <v/>
      </c>
      <c r="M12" s="15" t="str">
        <f>IF(TAREAS!$I$59="Propuesta",IF(AND(M$7&gt;=TAREAS!$G$59,M$7&lt;=TAREAS!$H$59,CALENDARIO!$C$108=1),"P",""),IF(ISNUMBER(SEARCH(TEXT(M$7,"yyyy-mm-dd"),TAREAS!$J$59)),IF(TAREAS!$I$59="Registro Git","R",IF(TAREAS!$I$59="Despliegue documentado","D","L")),""))</f>
        <v/>
      </c>
      <c r="N12" s="14" t="str">
        <f>IF(TAREAS!$I$59="Propuesta",IF(AND(N$7&gt;=TAREAS!$G$59,N$7&lt;=TAREAS!$H$59,CALENDARIO!$C$109=1),"P",""),IF(ISNUMBER(SEARCH(TEXT(N$7,"yyyy-mm-dd"),TAREAS!$J$59)),IF(TAREAS!$I$59="Registro Git","R",IF(TAREAS!$I$59="Despliegue documentado","D","L")),""))</f>
        <v/>
      </c>
      <c r="O12" s="14" t="str">
        <f>IF(TAREAS!$I$59="Propuesta",IF(AND(O$7&gt;=TAREAS!$G$59,O$7&lt;=TAREAS!$H$59,CALENDARIO!$C$110=1),"P",""),IF(ISNUMBER(SEARCH(TEXT(O$7,"yyyy-mm-dd"),TAREAS!$J$59)),IF(TAREAS!$I$59="Registro Git","R",IF(TAREAS!$I$59="Despliegue documentado","D","L")),""))</f>
        <v/>
      </c>
      <c r="P12" s="15" t="str">
        <f>IF(TAREAS!$I$59="Propuesta",IF(AND(P$7&gt;=TAREAS!$G$59,P$7&lt;=TAREAS!$H$59,CALENDARIO!$C$111=1),"P",""),IF(ISNUMBER(SEARCH(TEXT(P$7,"yyyy-mm-dd"),TAREAS!$J$59)),IF(TAREAS!$I$59="Registro Git","R",IF(TAREAS!$I$59="Despliegue documentado","D","L")),""))</f>
        <v/>
      </c>
      <c r="Q12" s="15" t="str">
        <f>IF(TAREAS!$I$59="Propuesta",IF(AND(Q$7&gt;=TAREAS!$G$59,Q$7&lt;=TAREAS!$H$59,CALENDARIO!$C$112=1),"P",""),IF(ISNUMBER(SEARCH(TEXT(Q$7,"yyyy-mm-dd"),TAREAS!$J$59)),IF(TAREAS!$I$59="Registro Git","R",IF(TAREAS!$I$59="Despliegue documentado","D","L")),""))</f>
        <v/>
      </c>
      <c r="R12" s="14" t="str">
        <f>IF(TAREAS!$I$59="Propuesta",IF(AND(R$7&gt;=TAREAS!$G$59,R$7&lt;=TAREAS!$H$59,CALENDARIO!$C$113=1),"P",""),IF(ISNUMBER(SEARCH(TEXT(R$7,"yyyy-mm-dd"),TAREAS!$J$59)),IF(TAREAS!$I$59="Registro Git","R",IF(TAREAS!$I$59="Despliegue documentado","D","L")),""))</f>
        <v>P</v>
      </c>
      <c r="S12" s="14" t="str">
        <f>IF(TAREAS!$I$59="Propuesta",IF(AND(S$7&gt;=TAREAS!$G$59,S$7&lt;=TAREAS!$H$59,CALENDARIO!$C$114=1),"P",""),IF(ISNUMBER(SEARCH(TEXT(S$7,"yyyy-mm-dd"),TAREAS!$J$59)),IF(TAREAS!$I$59="Registro Git","R",IF(TAREAS!$I$59="Despliegue documentado","D","L")),""))</f>
        <v>P</v>
      </c>
      <c r="T12" s="14" t="str">
        <f>IF(TAREAS!$I$59="Propuesta",IF(AND(T$7&gt;=TAREAS!$G$59,T$7&lt;=TAREAS!$H$59,CALENDARIO!$C$115=1),"P",""),IF(ISNUMBER(SEARCH(TEXT(T$7,"yyyy-mm-dd"),TAREAS!$J$59)),IF(TAREAS!$I$59="Registro Git","R",IF(TAREAS!$I$59="Despliegue documentado","D","L")),""))</f>
        <v/>
      </c>
      <c r="U12" s="14" t="str">
        <f>IF(TAREAS!$I$59="Propuesta",IF(AND(U$7&gt;=TAREAS!$G$59,U$7&lt;=TAREAS!$H$59,CALENDARIO!$C$116=1),"P",""),IF(ISNUMBER(SEARCH(TEXT(U$7,"yyyy-mm-dd"),TAREAS!$J$59)),IF(TAREAS!$I$59="Registro Git","R",IF(TAREAS!$I$59="Despliegue documentado","D","L")),""))</f>
        <v/>
      </c>
      <c r="V12" s="14" t="str">
        <f>IF(TAREAS!$I$59="Propuesta",IF(AND(V$7&gt;=TAREAS!$G$59,V$7&lt;=TAREAS!$H$59,CALENDARIO!$C$117=1),"P",""),IF(ISNUMBER(SEARCH(TEXT(V$7,"yyyy-mm-dd"),TAREAS!$J$59)),IF(TAREAS!$I$59="Registro Git","R",IF(TAREAS!$I$59="Despliegue documentado","D","L")),""))</f>
        <v/>
      </c>
      <c r="W12" s="15" t="str">
        <f>IF(TAREAS!$I$59="Propuesta",IF(AND(W$7&gt;=TAREAS!$G$59,W$7&lt;=TAREAS!$H$59,CALENDARIO!$C$118=1),"P",""),IF(ISNUMBER(SEARCH(TEXT(W$7,"yyyy-mm-dd"),TAREAS!$J$59)),IF(TAREAS!$I$59="Registro Git","R",IF(TAREAS!$I$59="Despliegue documentado","D","L")),""))</f>
        <v/>
      </c>
      <c r="X12" s="15" t="str">
        <f>IF(TAREAS!$I$59="Propuesta",IF(AND(X$7&gt;=TAREAS!$G$59,X$7&lt;=TAREAS!$H$59,CALENDARIO!$C$119=1),"P",""),IF(ISNUMBER(SEARCH(TEXT(X$7,"yyyy-mm-dd"),TAREAS!$J$59)),IF(TAREAS!$I$59="Registro Git","R",IF(TAREAS!$I$59="Despliegue documentado","D","L")),""))</f>
        <v/>
      </c>
      <c r="Y12" s="14" t="str">
        <f>IF(TAREAS!$I$59="Propuesta",IF(AND(Y$7&gt;=TAREAS!$G$59,Y$7&lt;=TAREAS!$H$59,CALENDARIO!$C$120=1),"P",""),IF(ISNUMBER(SEARCH(TEXT(Y$7,"yyyy-mm-dd"),TAREAS!$J$59)),IF(TAREAS!$I$59="Registro Git","R",IF(TAREAS!$I$59="Despliegue documentado","D","L")),""))</f>
        <v/>
      </c>
      <c r="Z12" s="14" t="str">
        <f>IF(TAREAS!$I$59="Propuesta",IF(AND(Z$7&gt;=TAREAS!$G$59,Z$7&lt;=TAREAS!$H$59,CALENDARIO!$C$121=1),"P",""),IF(ISNUMBER(SEARCH(TEXT(Z$7,"yyyy-mm-dd"),TAREAS!$J$59)),IF(TAREAS!$I$59="Registro Git","R",IF(TAREAS!$I$59="Despliegue documentado","D","L")),""))</f>
        <v/>
      </c>
      <c r="AA12" s="14" t="str">
        <f>IF(TAREAS!$I$59="Propuesta",IF(AND(AA$7&gt;=TAREAS!$G$59,AA$7&lt;=TAREAS!$H$59,CALENDARIO!$C$122=1),"P",""),IF(ISNUMBER(SEARCH(TEXT(AA$7,"yyyy-mm-dd"),TAREAS!$J$59)),IF(TAREAS!$I$59="Registro Git","R",IF(TAREAS!$I$59="Despliegue documentado","D","L")),""))</f>
        <v/>
      </c>
      <c r="AB12" s="14" t="str">
        <f>IF(TAREAS!$I$59="Propuesta",IF(AND(AB$7&gt;=TAREAS!$G$59,AB$7&lt;=TAREAS!$H$59,CALENDARIO!$C$123=1),"P",""),IF(ISNUMBER(SEARCH(TEXT(AB$7,"yyyy-mm-dd"),TAREAS!$J$59)),IF(TAREAS!$I$59="Registro Git","R",IF(TAREAS!$I$59="Despliegue documentado","D","L")),""))</f>
        <v/>
      </c>
      <c r="AC12" s="15" t="str">
        <f>IF(TAREAS!$I$59="Propuesta",IF(AND(AC$7&gt;=TAREAS!$G$59,AC$7&lt;=TAREAS!$H$59,CALENDARIO!$C$124=1),"P",""),IF(ISNUMBER(SEARCH(TEXT(AC$7,"yyyy-mm-dd"),TAREAS!$J$59)),IF(TAREAS!$I$59="Registro Git","R",IF(TAREAS!$I$59="Despliegue documentado","D","L")),""))</f>
        <v/>
      </c>
      <c r="AD12" s="15" t="str">
        <f>IF(TAREAS!$I$59="Propuesta",IF(AND(AD$7&gt;=TAREAS!$G$59,AD$7&lt;=TAREAS!$H$59,CALENDARIO!$C$125=1),"P",""),IF(ISNUMBER(SEARCH(TEXT(AD$7,"yyyy-mm-dd"),TAREAS!$J$59)),IF(TAREAS!$I$59="Registro Git","R",IF(TAREAS!$I$59="Despliegue documentado","D","L")),""))</f>
        <v/>
      </c>
      <c r="AE12" s="15" t="str">
        <f>IF(TAREAS!$I$59="Propuesta",IF(AND(AE$7&gt;=TAREAS!$G$59,AE$7&lt;=TAREAS!$H$59,CALENDARIO!$C$126=1),"P",""),IF(ISNUMBER(SEARCH(TEXT(AE$7,"yyyy-mm-dd"),TAREAS!$J$59)),IF(TAREAS!$I$59="Registro Git","R",IF(TAREAS!$I$59="Despliegue documentado","D","L")),""))</f>
        <v/>
      </c>
      <c r="AF12" s="14" t="str">
        <f>IF(TAREAS!$I$59="Propuesta",IF(AND(AF$7&gt;=TAREAS!$G$59,AF$7&lt;=TAREAS!$H$59,CALENDARIO!$C$127=1),"P",""),IF(ISNUMBER(SEARCH(TEXT(AF$7,"yyyy-mm-dd"),TAREAS!$J$59)),IF(TAREAS!$I$59="Registro Git","R",IF(TAREAS!$I$59="Despliegue documentado","D","L")),""))</f>
        <v/>
      </c>
      <c r="AG12" s="14" t="str">
        <f>IF(TAREAS!$I$59="Propuesta",IF(AND(AG$7&gt;=TAREAS!$G$59,AG$7&lt;=TAREAS!$H$59,CALENDARIO!$C$128=1),"P",""),IF(ISNUMBER(SEARCH(TEXT(AG$7,"yyyy-mm-dd"),TAREAS!$J$59)),IF(TAREAS!$I$59="Registro Git","R",IF(TAREAS!$I$59="Despliegue documentado","D","L")),""))</f>
        <v/>
      </c>
      <c r="AH12" s="14" t="str">
        <f>IF(TAREAS!$I$59="Propuesta",IF(AND(AH$7&gt;=TAREAS!$G$59,AH$7&lt;=TAREAS!$H$59,CALENDARIO!$C$129=1),"P",""),IF(ISNUMBER(SEARCH(TEXT(AH$7,"yyyy-mm-dd"),TAREAS!$J$59)),IF(TAREAS!$I$59="Registro Git","R",IF(TAREAS!$I$59="Despliegue documentado","D","L")),""))</f>
        <v/>
      </c>
      <c r="AI12" s="14" t="str">
        <f>IF(TAREAS!$I$59="Propuesta",IF(AND(AI$7&gt;=TAREAS!$G$59,AI$7&lt;=TAREAS!$H$59,CALENDARIO!$C$130=1),"P",""),IF(ISNUMBER(SEARCH(TEXT(AI$7,"yyyy-mm-dd"),TAREAS!$J$59)),IF(TAREAS!$I$59="Registro Git","R",IF(TAREAS!$I$59="Despliegue documentado","D","L")),""))</f>
        <v/>
      </c>
    </row>
    <row r="13" spans="1:35" ht="72" customHeight="1" x14ac:dyDescent="0.25">
      <c r="A13" s="20" t="str">
        <f>TAREAS!C60</f>
        <v>HU-G12 · Como Dirección, quiero validar la adopción y priorizar el siguiente periodo.</v>
      </c>
      <c r="B13" s="12" t="str">
        <f>TAREAS!A60&amp;" · "&amp;TAREAS!D60</f>
        <v>T-056 · Aceptación con Marketing, Ingeniería, Diseño y Audiovisuales</v>
      </c>
      <c r="C13" s="12" t="str">
        <f>TAREAS!F60</f>
        <v>QA + responsables de área</v>
      </c>
      <c r="D13" s="13">
        <f t="shared" si="0"/>
        <v>2</v>
      </c>
      <c r="E13" s="14" t="str">
        <f>IF(TAREAS!$I$60="Propuesta",IF(AND(E$7&gt;=TAREAS!$G$60,E$7&lt;=TAREAS!$H$60,CALENDARIO!$C$100=1),"P",""),IF(ISNUMBER(SEARCH(TEXT(E$7,"yyyy-mm-dd"),TAREAS!$J$60)),IF(TAREAS!$I$60="Registro Git","R",IF(TAREAS!$I$60="Despliegue documentado","D","L")),""))</f>
        <v/>
      </c>
      <c r="F13" s="14" t="str">
        <f>IF(TAREAS!$I$60="Propuesta",IF(AND(F$7&gt;=TAREAS!$G$60,F$7&lt;=TAREAS!$H$60,CALENDARIO!$C$101=1),"P",""),IF(ISNUMBER(SEARCH(TEXT(F$7,"yyyy-mm-dd"),TAREAS!$J$60)),IF(TAREAS!$I$60="Registro Git","R",IF(TAREAS!$I$60="Despliegue documentado","D","L")),""))</f>
        <v/>
      </c>
      <c r="G13" s="14" t="str">
        <f>IF(TAREAS!$I$60="Propuesta",IF(AND(G$7&gt;=TAREAS!$G$60,G$7&lt;=TAREAS!$H$60,CALENDARIO!$C$102=1),"P",""),IF(ISNUMBER(SEARCH(TEXT(G$7,"yyyy-mm-dd"),TAREAS!$J$60)),IF(TAREAS!$I$60="Registro Git","R",IF(TAREAS!$I$60="Despliegue documentado","D","L")),""))</f>
        <v/>
      </c>
      <c r="H13" s="14" t="str">
        <f>IF(TAREAS!$I$60="Propuesta",IF(AND(H$7&gt;=TAREAS!$G$60,H$7&lt;=TAREAS!$H$60,CALENDARIO!$C$103=1),"P",""),IF(ISNUMBER(SEARCH(TEXT(H$7,"yyyy-mm-dd"),TAREAS!$J$60)),IF(TAREAS!$I$60="Registro Git","R",IF(TAREAS!$I$60="Despliegue documentado","D","L")),""))</f>
        <v/>
      </c>
      <c r="I13" s="15" t="str">
        <f>IF(TAREAS!$I$60="Propuesta",IF(AND(I$7&gt;=TAREAS!$G$60,I$7&lt;=TAREAS!$H$60,CALENDARIO!$C$104=1),"P",""),IF(ISNUMBER(SEARCH(TEXT(I$7,"yyyy-mm-dd"),TAREAS!$J$60)),IF(TAREAS!$I$60="Registro Git","R",IF(TAREAS!$I$60="Despliegue documentado","D","L")),""))</f>
        <v/>
      </c>
      <c r="J13" s="15" t="str">
        <f>IF(TAREAS!$I$60="Propuesta",IF(AND(J$7&gt;=TAREAS!$G$60,J$7&lt;=TAREAS!$H$60,CALENDARIO!$C$105=1),"P",""),IF(ISNUMBER(SEARCH(TEXT(J$7,"yyyy-mm-dd"),TAREAS!$J$60)),IF(TAREAS!$I$60="Registro Git","R",IF(TAREAS!$I$60="Despliegue documentado","D","L")),""))</f>
        <v/>
      </c>
      <c r="K13" s="14" t="str">
        <f>IF(TAREAS!$I$60="Propuesta",IF(AND(K$7&gt;=TAREAS!$G$60,K$7&lt;=TAREAS!$H$60,CALENDARIO!$C$106=1),"P",""),IF(ISNUMBER(SEARCH(TEXT(K$7,"yyyy-mm-dd"),TAREAS!$J$60)),IF(TAREAS!$I$60="Registro Git","R",IF(TAREAS!$I$60="Despliegue documentado","D","L")),""))</f>
        <v/>
      </c>
      <c r="L13" s="15" t="str">
        <f>IF(TAREAS!$I$60="Propuesta",IF(AND(L$7&gt;=TAREAS!$G$60,L$7&lt;=TAREAS!$H$60,CALENDARIO!$C$107=1),"P",""),IF(ISNUMBER(SEARCH(TEXT(L$7,"yyyy-mm-dd"),TAREAS!$J$60)),IF(TAREAS!$I$60="Registro Git","R",IF(TAREAS!$I$60="Despliegue documentado","D","L")),""))</f>
        <v/>
      </c>
      <c r="M13" s="15" t="str">
        <f>IF(TAREAS!$I$60="Propuesta",IF(AND(M$7&gt;=TAREAS!$G$60,M$7&lt;=TAREAS!$H$60,CALENDARIO!$C$108=1),"P",""),IF(ISNUMBER(SEARCH(TEXT(M$7,"yyyy-mm-dd"),TAREAS!$J$60)),IF(TAREAS!$I$60="Registro Git","R",IF(TAREAS!$I$60="Despliegue documentado","D","L")),""))</f>
        <v/>
      </c>
      <c r="N13" s="14" t="str">
        <f>IF(TAREAS!$I$60="Propuesta",IF(AND(N$7&gt;=TAREAS!$G$60,N$7&lt;=TAREAS!$H$60,CALENDARIO!$C$109=1),"P",""),IF(ISNUMBER(SEARCH(TEXT(N$7,"yyyy-mm-dd"),TAREAS!$J$60)),IF(TAREAS!$I$60="Registro Git","R",IF(TAREAS!$I$60="Despliegue documentado","D","L")),""))</f>
        <v/>
      </c>
      <c r="O13" s="14" t="str">
        <f>IF(TAREAS!$I$60="Propuesta",IF(AND(O$7&gt;=TAREAS!$G$60,O$7&lt;=TAREAS!$H$60,CALENDARIO!$C$110=1),"P",""),IF(ISNUMBER(SEARCH(TEXT(O$7,"yyyy-mm-dd"),TAREAS!$J$60)),IF(TAREAS!$I$60="Registro Git","R",IF(TAREAS!$I$60="Despliegue documentado","D","L")),""))</f>
        <v/>
      </c>
      <c r="P13" s="15" t="str">
        <f>IF(TAREAS!$I$60="Propuesta",IF(AND(P$7&gt;=TAREAS!$G$60,P$7&lt;=TAREAS!$H$60,CALENDARIO!$C$111=1),"P",""),IF(ISNUMBER(SEARCH(TEXT(P$7,"yyyy-mm-dd"),TAREAS!$J$60)),IF(TAREAS!$I$60="Registro Git","R",IF(TAREAS!$I$60="Despliegue documentado","D","L")),""))</f>
        <v/>
      </c>
      <c r="Q13" s="15" t="str">
        <f>IF(TAREAS!$I$60="Propuesta",IF(AND(Q$7&gt;=TAREAS!$G$60,Q$7&lt;=TAREAS!$H$60,CALENDARIO!$C$112=1),"P",""),IF(ISNUMBER(SEARCH(TEXT(Q$7,"yyyy-mm-dd"),TAREAS!$J$60)),IF(TAREAS!$I$60="Registro Git","R",IF(TAREAS!$I$60="Despliegue documentado","D","L")),""))</f>
        <v/>
      </c>
      <c r="R13" s="14" t="str">
        <f>IF(TAREAS!$I$60="Propuesta",IF(AND(R$7&gt;=TAREAS!$G$60,R$7&lt;=TAREAS!$H$60,CALENDARIO!$C$113=1),"P",""),IF(ISNUMBER(SEARCH(TEXT(R$7,"yyyy-mm-dd"),TAREAS!$J$60)),IF(TAREAS!$I$60="Registro Git","R",IF(TAREAS!$I$60="Despliegue documentado","D","L")),""))</f>
        <v/>
      </c>
      <c r="S13" s="14" t="str">
        <f>IF(TAREAS!$I$60="Propuesta",IF(AND(S$7&gt;=TAREAS!$G$60,S$7&lt;=TAREAS!$H$60,CALENDARIO!$C$114=1),"P",""),IF(ISNUMBER(SEARCH(TEXT(S$7,"yyyy-mm-dd"),TAREAS!$J$60)),IF(TAREAS!$I$60="Registro Git","R",IF(TAREAS!$I$60="Despliegue documentado","D","L")),""))</f>
        <v/>
      </c>
      <c r="T13" s="14" t="str">
        <f>IF(TAREAS!$I$60="Propuesta",IF(AND(T$7&gt;=TAREAS!$G$60,T$7&lt;=TAREAS!$H$60,CALENDARIO!$C$115=1),"P",""),IF(ISNUMBER(SEARCH(TEXT(T$7,"yyyy-mm-dd"),TAREAS!$J$60)),IF(TAREAS!$I$60="Registro Git","R",IF(TAREAS!$I$60="Despliegue documentado","D","L")),""))</f>
        <v>P</v>
      </c>
      <c r="U13" s="14" t="str">
        <f>IF(TAREAS!$I$60="Propuesta",IF(AND(U$7&gt;=TAREAS!$G$60,U$7&lt;=TAREAS!$H$60,CALENDARIO!$C$116=1),"P",""),IF(ISNUMBER(SEARCH(TEXT(U$7,"yyyy-mm-dd"),TAREAS!$J$60)),IF(TAREAS!$I$60="Registro Git","R",IF(TAREAS!$I$60="Despliegue documentado","D","L")),""))</f>
        <v>P</v>
      </c>
      <c r="V13" s="14" t="str">
        <f>IF(TAREAS!$I$60="Propuesta",IF(AND(V$7&gt;=TAREAS!$G$60,V$7&lt;=TAREAS!$H$60,CALENDARIO!$C$117=1),"P",""),IF(ISNUMBER(SEARCH(TEXT(V$7,"yyyy-mm-dd"),TAREAS!$J$60)),IF(TAREAS!$I$60="Registro Git","R",IF(TAREAS!$I$60="Despliegue documentado","D","L")),""))</f>
        <v/>
      </c>
      <c r="W13" s="15" t="str">
        <f>IF(TAREAS!$I$60="Propuesta",IF(AND(W$7&gt;=TAREAS!$G$60,W$7&lt;=TAREAS!$H$60,CALENDARIO!$C$118=1),"P",""),IF(ISNUMBER(SEARCH(TEXT(W$7,"yyyy-mm-dd"),TAREAS!$J$60)),IF(TAREAS!$I$60="Registro Git","R",IF(TAREAS!$I$60="Despliegue documentado","D","L")),""))</f>
        <v/>
      </c>
      <c r="X13" s="15" t="str">
        <f>IF(TAREAS!$I$60="Propuesta",IF(AND(X$7&gt;=TAREAS!$G$60,X$7&lt;=TAREAS!$H$60,CALENDARIO!$C$119=1),"P",""),IF(ISNUMBER(SEARCH(TEXT(X$7,"yyyy-mm-dd"),TAREAS!$J$60)),IF(TAREAS!$I$60="Registro Git","R",IF(TAREAS!$I$60="Despliegue documentado","D","L")),""))</f>
        <v/>
      </c>
      <c r="Y13" s="14" t="str">
        <f>IF(TAREAS!$I$60="Propuesta",IF(AND(Y$7&gt;=TAREAS!$G$60,Y$7&lt;=TAREAS!$H$60,CALENDARIO!$C$120=1),"P",""),IF(ISNUMBER(SEARCH(TEXT(Y$7,"yyyy-mm-dd"),TAREAS!$J$60)),IF(TAREAS!$I$60="Registro Git","R",IF(TAREAS!$I$60="Despliegue documentado","D","L")),""))</f>
        <v/>
      </c>
      <c r="Z13" s="14" t="str">
        <f>IF(TAREAS!$I$60="Propuesta",IF(AND(Z$7&gt;=TAREAS!$G$60,Z$7&lt;=TAREAS!$H$60,CALENDARIO!$C$121=1),"P",""),IF(ISNUMBER(SEARCH(TEXT(Z$7,"yyyy-mm-dd"),TAREAS!$J$60)),IF(TAREAS!$I$60="Registro Git","R",IF(TAREAS!$I$60="Despliegue documentado","D","L")),""))</f>
        <v/>
      </c>
      <c r="AA13" s="14" t="str">
        <f>IF(TAREAS!$I$60="Propuesta",IF(AND(AA$7&gt;=TAREAS!$G$60,AA$7&lt;=TAREAS!$H$60,CALENDARIO!$C$122=1),"P",""),IF(ISNUMBER(SEARCH(TEXT(AA$7,"yyyy-mm-dd"),TAREAS!$J$60)),IF(TAREAS!$I$60="Registro Git","R",IF(TAREAS!$I$60="Despliegue documentado","D","L")),""))</f>
        <v/>
      </c>
      <c r="AB13" s="14" t="str">
        <f>IF(TAREAS!$I$60="Propuesta",IF(AND(AB$7&gt;=TAREAS!$G$60,AB$7&lt;=TAREAS!$H$60,CALENDARIO!$C$123=1),"P",""),IF(ISNUMBER(SEARCH(TEXT(AB$7,"yyyy-mm-dd"),TAREAS!$J$60)),IF(TAREAS!$I$60="Registro Git","R",IF(TAREAS!$I$60="Despliegue documentado","D","L")),""))</f>
        <v/>
      </c>
      <c r="AC13" s="15" t="str">
        <f>IF(TAREAS!$I$60="Propuesta",IF(AND(AC$7&gt;=TAREAS!$G$60,AC$7&lt;=TAREAS!$H$60,CALENDARIO!$C$124=1),"P",""),IF(ISNUMBER(SEARCH(TEXT(AC$7,"yyyy-mm-dd"),TAREAS!$J$60)),IF(TAREAS!$I$60="Registro Git","R",IF(TAREAS!$I$60="Despliegue documentado","D","L")),""))</f>
        <v/>
      </c>
      <c r="AD13" s="15" t="str">
        <f>IF(TAREAS!$I$60="Propuesta",IF(AND(AD$7&gt;=TAREAS!$G$60,AD$7&lt;=TAREAS!$H$60,CALENDARIO!$C$125=1),"P",""),IF(ISNUMBER(SEARCH(TEXT(AD$7,"yyyy-mm-dd"),TAREAS!$J$60)),IF(TAREAS!$I$60="Registro Git","R",IF(TAREAS!$I$60="Despliegue documentado","D","L")),""))</f>
        <v/>
      </c>
      <c r="AE13" s="15" t="str">
        <f>IF(TAREAS!$I$60="Propuesta",IF(AND(AE$7&gt;=TAREAS!$G$60,AE$7&lt;=TAREAS!$H$60,CALENDARIO!$C$126=1),"P",""),IF(ISNUMBER(SEARCH(TEXT(AE$7,"yyyy-mm-dd"),TAREAS!$J$60)),IF(TAREAS!$I$60="Registro Git","R",IF(TAREAS!$I$60="Despliegue documentado","D","L")),""))</f>
        <v/>
      </c>
      <c r="AF13" s="14" t="str">
        <f>IF(TAREAS!$I$60="Propuesta",IF(AND(AF$7&gt;=TAREAS!$G$60,AF$7&lt;=TAREAS!$H$60,CALENDARIO!$C$127=1),"P",""),IF(ISNUMBER(SEARCH(TEXT(AF$7,"yyyy-mm-dd"),TAREAS!$J$60)),IF(TAREAS!$I$60="Registro Git","R",IF(TAREAS!$I$60="Despliegue documentado","D","L")),""))</f>
        <v/>
      </c>
      <c r="AG13" s="14" t="str">
        <f>IF(TAREAS!$I$60="Propuesta",IF(AND(AG$7&gt;=TAREAS!$G$60,AG$7&lt;=TAREAS!$H$60,CALENDARIO!$C$128=1),"P",""),IF(ISNUMBER(SEARCH(TEXT(AG$7,"yyyy-mm-dd"),TAREAS!$J$60)),IF(TAREAS!$I$60="Registro Git","R",IF(TAREAS!$I$60="Despliegue documentado","D","L")),""))</f>
        <v/>
      </c>
      <c r="AH13" s="14" t="str">
        <f>IF(TAREAS!$I$60="Propuesta",IF(AND(AH$7&gt;=TAREAS!$G$60,AH$7&lt;=TAREAS!$H$60,CALENDARIO!$C$129=1),"P",""),IF(ISNUMBER(SEARCH(TEXT(AH$7,"yyyy-mm-dd"),TAREAS!$J$60)),IF(TAREAS!$I$60="Registro Git","R",IF(TAREAS!$I$60="Despliegue documentado","D","L")),""))</f>
        <v/>
      </c>
      <c r="AI13" s="14" t="str">
        <f>IF(TAREAS!$I$60="Propuesta",IF(AND(AI$7&gt;=TAREAS!$G$60,AI$7&lt;=TAREAS!$H$60,CALENDARIO!$C$130=1),"P",""),IF(ISNUMBER(SEARCH(TEXT(AI$7,"yyyy-mm-dd"),TAREAS!$J$60)),IF(TAREAS!$I$60="Registro Git","R",IF(TAREAS!$I$60="Despliegue documentado","D","L")),""))</f>
        <v/>
      </c>
    </row>
    <row r="14" spans="1:35" ht="72" customHeight="1" x14ac:dyDescent="0.25">
      <c r="A14" s="19" t="str">
        <f>TAREAS!C61</f>
        <v>HU-G11 · Como usuario, quiero mejoras de calidad y flujos confiables.</v>
      </c>
      <c r="B14" s="12" t="str">
        <f>TAREAS!A61&amp;" · "&amp;TAREAS!D61</f>
        <v>T-057 · Corregir hallazgos y ejecutar regresión integral</v>
      </c>
      <c r="C14" s="12" t="str">
        <f>TAREAS!F61</f>
        <v>Sistemas + QA</v>
      </c>
      <c r="D14" s="13">
        <f t="shared" si="0"/>
        <v>4</v>
      </c>
      <c r="E14" s="14" t="str">
        <f>IF(TAREAS!$I$61="Propuesta",IF(AND(E$7&gt;=TAREAS!$G$61,E$7&lt;=TAREAS!$H$61,CALENDARIO!$C$100=1),"P",""),IF(ISNUMBER(SEARCH(TEXT(E$7,"yyyy-mm-dd"),TAREAS!$J$61)),IF(TAREAS!$I$61="Registro Git","R",IF(TAREAS!$I$61="Despliegue documentado","D","L")),""))</f>
        <v/>
      </c>
      <c r="F14" s="14" t="str">
        <f>IF(TAREAS!$I$61="Propuesta",IF(AND(F$7&gt;=TAREAS!$G$61,F$7&lt;=TAREAS!$H$61,CALENDARIO!$C$101=1),"P",""),IF(ISNUMBER(SEARCH(TEXT(F$7,"yyyy-mm-dd"),TAREAS!$J$61)),IF(TAREAS!$I$61="Registro Git","R",IF(TAREAS!$I$61="Despliegue documentado","D","L")),""))</f>
        <v/>
      </c>
      <c r="G14" s="14" t="str">
        <f>IF(TAREAS!$I$61="Propuesta",IF(AND(G$7&gt;=TAREAS!$G$61,G$7&lt;=TAREAS!$H$61,CALENDARIO!$C$102=1),"P",""),IF(ISNUMBER(SEARCH(TEXT(G$7,"yyyy-mm-dd"),TAREAS!$J$61)),IF(TAREAS!$I$61="Registro Git","R",IF(TAREAS!$I$61="Despliegue documentado","D","L")),""))</f>
        <v/>
      </c>
      <c r="H14" s="14" t="str">
        <f>IF(TAREAS!$I$61="Propuesta",IF(AND(H$7&gt;=TAREAS!$G$61,H$7&lt;=TAREAS!$H$61,CALENDARIO!$C$103=1),"P",""),IF(ISNUMBER(SEARCH(TEXT(H$7,"yyyy-mm-dd"),TAREAS!$J$61)),IF(TAREAS!$I$61="Registro Git","R",IF(TAREAS!$I$61="Despliegue documentado","D","L")),""))</f>
        <v/>
      </c>
      <c r="I14" s="15" t="str">
        <f>IF(TAREAS!$I$61="Propuesta",IF(AND(I$7&gt;=TAREAS!$G$61,I$7&lt;=TAREAS!$H$61,CALENDARIO!$C$104=1),"P",""),IF(ISNUMBER(SEARCH(TEXT(I$7,"yyyy-mm-dd"),TAREAS!$J$61)),IF(TAREAS!$I$61="Registro Git","R",IF(TAREAS!$I$61="Despliegue documentado","D","L")),""))</f>
        <v/>
      </c>
      <c r="J14" s="15" t="str">
        <f>IF(TAREAS!$I$61="Propuesta",IF(AND(J$7&gt;=TAREAS!$G$61,J$7&lt;=TAREAS!$H$61,CALENDARIO!$C$105=1),"P",""),IF(ISNUMBER(SEARCH(TEXT(J$7,"yyyy-mm-dd"),TAREAS!$J$61)),IF(TAREAS!$I$61="Registro Git","R",IF(TAREAS!$I$61="Despliegue documentado","D","L")),""))</f>
        <v/>
      </c>
      <c r="K14" s="14" t="str">
        <f>IF(TAREAS!$I$61="Propuesta",IF(AND(K$7&gt;=TAREAS!$G$61,K$7&lt;=TAREAS!$H$61,CALENDARIO!$C$106=1),"P",""),IF(ISNUMBER(SEARCH(TEXT(K$7,"yyyy-mm-dd"),TAREAS!$J$61)),IF(TAREAS!$I$61="Registro Git","R",IF(TAREAS!$I$61="Despliegue documentado","D","L")),""))</f>
        <v/>
      </c>
      <c r="L14" s="15" t="str">
        <f>IF(TAREAS!$I$61="Propuesta",IF(AND(L$7&gt;=TAREAS!$G$61,L$7&lt;=TAREAS!$H$61,CALENDARIO!$C$107=1),"P",""),IF(ISNUMBER(SEARCH(TEXT(L$7,"yyyy-mm-dd"),TAREAS!$J$61)),IF(TAREAS!$I$61="Registro Git","R",IF(TAREAS!$I$61="Despliegue documentado","D","L")),""))</f>
        <v/>
      </c>
      <c r="M14" s="15" t="str">
        <f>IF(TAREAS!$I$61="Propuesta",IF(AND(M$7&gt;=TAREAS!$G$61,M$7&lt;=TAREAS!$H$61,CALENDARIO!$C$108=1),"P",""),IF(ISNUMBER(SEARCH(TEXT(M$7,"yyyy-mm-dd"),TAREAS!$J$61)),IF(TAREAS!$I$61="Registro Git","R",IF(TAREAS!$I$61="Despliegue documentado","D","L")),""))</f>
        <v/>
      </c>
      <c r="N14" s="14" t="str">
        <f>IF(TAREAS!$I$61="Propuesta",IF(AND(N$7&gt;=TAREAS!$G$61,N$7&lt;=TAREAS!$H$61,CALENDARIO!$C$109=1),"P",""),IF(ISNUMBER(SEARCH(TEXT(N$7,"yyyy-mm-dd"),TAREAS!$J$61)),IF(TAREAS!$I$61="Registro Git","R",IF(TAREAS!$I$61="Despliegue documentado","D","L")),""))</f>
        <v/>
      </c>
      <c r="O14" s="14" t="str">
        <f>IF(TAREAS!$I$61="Propuesta",IF(AND(O$7&gt;=TAREAS!$G$61,O$7&lt;=TAREAS!$H$61,CALENDARIO!$C$110=1),"P",""),IF(ISNUMBER(SEARCH(TEXT(O$7,"yyyy-mm-dd"),TAREAS!$J$61)),IF(TAREAS!$I$61="Registro Git","R",IF(TAREAS!$I$61="Despliegue documentado","D","L")),""))</f>
        <v/>
      </c>
      <c r="P14" s="15" t="str">
        <f>IF(TAREAS!$I$61="Propuesta",IF(AND(P$7&gt;=TAREAS!$G$61,P$7&lt;=TAREAS!$H$61,CALENDARIO!$C$111=1),"P",""),IF(ISNUMBER(SEARCH(TEXT(P$7,"yyyy-mm-dd"),TAREAS!$J$61)),IF(TAREAS!$I$61="Registro Git","R",IF(TAREAS!$I$61="Despliegue documentado","D","L")),""))</f>
        <v/>
      </c>
      <c r="Q14" s="15" t="str">
        <f>IF(TAREAS!$I$61="Propuesta",IF(AND(Q$7&gt;=TAREAS!$G$61,Q$7&lt;=TAREAS!$H$61,CALENDARIO!$C$112=1),"P",""),IF(ISNUMBER(SEARCH(TEXT(Q$7,"yyyy-mm-dd"),TAREAS!$J$61)),IF(TAREAS!$I$61="Registro Git","R",IF(TAREAS!$I$61="Despliegue documentado","D","L")),""))</f>
        <v/>
      </c>
      <c r="R14" s="14" t="str">
        <f>IF(TAREAS!$I$61="Propuesta",IF(AND(R$7&gt;=TAREAS!$G$61,R$7&lt;=TAREAS!$H$61,CALENDARIO!$C$113=1),"P",""),IF(ISNUMBER(SEARCH(TEXT(R$7,"yyyy-mm-dd"),TAREAS!$J$61)),IF(TAREAS!$I$61="Registro Git","R",IF(TAREAS!$I$61="Despliegue documentado","D","L")),""))</f>
        <v/>
      </c>
      <c r="S14" s="14" t="str">
        <f>IF(TAREAS!$I$61="Propuesta",IF(AND(S$7&gt;=TAREAS!$G$61,S$7&lt;=TAREAS!$H$61,CALENDARIO!$C$114=1),"P",""),IF(ISNUMBER(SEARCH(TEXT(S$7,"yyyy-mm-dd"),TAREAS!$J$61)),IF(TAREAS!$I$61="Registro Git","R",IF(TAREAS!$I$61="Despliegue documentado","D","L")),""))</f>
        <v/>
      </c>
      <c r="T14" s="14" t="str">
        <f>IF(TAREAS!$I$61="Propuesta",IF(AND(T$7&gt;=TAREAS!$G$61,T$7&lt;=TAREAS!$H$61,CALENDARIO!$C$115=1),"P",""),IF(ISNUMBER(SEARCH(TEXT(T$7,"yyyy-mm-dd"),TAREAS!$J$61)),IF(TAREAS!$I$61="Registro Git","R",IF(TAREAS!$I$61="Despliegue documentado","D","L")),""))</f>
        <v/>
      </c>
      <c r="U14" s="14" t="str">
        <f>IF(TAREAS!$I$61="Propuesta",IF(AND(U$7&gt;=TAREAS!$G$61,U$7&lt;=TAREAS!$H$61,CALENDARIO!$C$116=1),"P",""),IF(ISNUMBER(SEARCH(TEXT(U$7,"yyyy-mm-dd"),TAREAS!$J$61)),IF(TAREAS!$I$61="Registro Git","R",IF(TAREAS!$I$61="Despliegue documentado","D","L")),""))</f>
        <v/>
      </c>
      <c r="V14" s="14" t="str">
        <f>IF(TAREAS!$I$61="Propuesta",IF(AND(V$7&gt;=TAREAS!$G$61,V$7&lt;=TAREAS!$H$61,CALENDARIO!$C$117=1),"P",""),IF(ISNUMBER(SEARCH(TEXT(V$7,"yyyy-mm-dd"),TAREAS!$J$61)),IF(TAREAS!$I$61="Registro Git","R",IF(TAREAS!$I$61="Despliegue documentado","D","L")),""))</f>
        <v>P</v>
      </c>
      <c r="W14" s="15" t="str">
        <f>IF(TAREAS!$I$61="Propuesta",IF(AND(W$7&gt;=TAREAS!$G$61,W$7&lt;=TAREAS!$H$61,CALENDARIO!$C$118=1),"P",""),IF(ISNUMBER(SEARCH(TEXT(W$7,"yyyy-mm-dd"),TAREAS!$J$61)),IF(TAREAS!$I$61="Registro Git","R",IF(TAREAS!$I$61="Despliegue documentado","D","L")),""))</f>
        <v/>
      </c>
      <c r="X14" s="15" t="str">
        <f>IF(TAREAS!$I$61="Propuesta",IF(AND(X$7&gt;=TAREAS!$G$61,X$7&lt;=TAREAS!$H$61,CALENDARIO!$C$119=1),"P",""),IF(ISNUMBER(SEARCH(TEXT(X$7,"yyyy-mm-dd"),TAREAS!$J$61)),IF(TAREAS!$I$61="Registro Git","R",IF(TAREAS!$I$61="Despliegue documentado","D","L")),""))</f>
        <v/>
      </c>
      <c r="Y14" s="14" t="str">
        <f>IF(TAREAS!$I$61="Propuesta",IF(AND(Y$7&gt;=TAREAS!$G$61,Y$7&lt;=TAREAS!$H$61,CALENDARIO!$C$120=1),"P",""),IF(ISNUMBER(SEARCH(TEXT(Y$7,"yyyy-mm-dd"),TAREAS!$J$61)),IF(TAREAS!$I$61="Registro Git","R",IF(TAREAS!$I$61="Despliegue documentado","D","L")),""))</f>
        <v>P</v>
      </c>
      <c r="Z14" s="14" t="str">
        <f>IF(TAREAS!$I$61="Propuesta",IF(AND(Z$7&gt;=TAREAS!$G$61,Z$7&lt;=TAREAS!$H$61,CALENDARIO!$C$121=1),"P",""),IF(ISNUMBER(SEARCH(TEXT(Z$7,"yyyy-mm-dd"),TAREAS!$J$61)),IF(TAREAS!$I$61="Registro Git","R",IF(TAREAS!$I$61="Despliegue documentado","D","L")),""))</f>
        <v>P</v>
      </c>
      <c r="AA14" s="14" t="str">
        <f>IF(TAREAS!$I$61="Propuesta",IF(AND(AA$7&gt;=TAREAS!$G$61,AA$7&lt;=TAREAS!$H$61,CALENDARIO!$C$122=1),"P",""),IF(ISNUMBER(SEARCH(TEXT(AA$7,"yyyy-mm-dd"),TAREAS!$J$61)),IF(TAREAS!$I$61="Registro Git","R",IF(TAREAS!$I$61="Despliegue documentado","D","L")),""))</f>
        <v>P</v>
      </c>
      <c r="AB14" s="14" t="str">
        <f>IF(TAREAS!$I$61="Propuesta",IF(AND(AB$7&gt;=TAREAS!$G$61,AB$7&lt;=TAREAS!$H$61,CALENDARIO!$C$123=1),"P",""),IF(ISNUMBER(SEARCH(TEXT(AB$7,"yyyy-mm-dd"),TAREAS!$J$61)),IF(TAREAS!$I$61="Registro Git","R",IF(TAREAS!$I$61="Despliegue documentado","D","L")),""))</f>
        <v/>
      </c>
      <c r="AC14" s="15" t="str">
        <f>IF(TAREAS!$I$61="Propuesta",IF(AND(AC$7&gt;=TAREAS!$G$61,AC$7&lt;=TAREAS!$H$61,CALENDARIO!$C$124=1),"P",""),IF(ISNUMBER(SEARCH(TEXT(AC$7,"yyyy-mm-dd"),TAREAS!$J$61)),IF(TAREAS!$I$61="Registro Git","R",IF(TAREAS!$I$61="Despliegue documentado","D","L")),""))</f>
        <v/>
      </c>
      <c r="AD14" s="15" t="str">
        <f>IF(TAREAS!$I$61="Propuesta",IF(AND(AD$7&gt;=TAREAS!$G$61,AD$7&lt;=TAREAS!$H$61,CALENDARIO!$C$125=1),"P",""),IF(ISNUMBER(SEARCH(TEXT(AD$7,"yyyy-mm-dd"),TAREAS!$J$61)),IF(TAREAS!$I$61="Registro Git","R",IF(TAREAS!$I$61="Despliegue documentado","D","L")),""))</f>
        <v/>
      </c>
      <c r="AE14" s="15" t="str">
        <f>IF(TAREAS!$I$61="Propuesta",IF(AND(AE$7&gt;=TAREAS!$G$61,AE$7&lt;=TAREAS!$H$61,CALENDARIO!$C$126=1),"P",""),IF(ISNUMBER(SEARCH(TEXT(AE$7,"yyyy-mm-dd"),TAREAS!$J$61)),IF(TAREAS!$I$61="Registro Git","R",IF(TAREAS!$I$61="Despliegue documentado","D","L")),""))</f>
        <v/>
      </c>
      <c r="AF14" s="14" t="str">
        <f>IF(TAREAS!$I$61="Propuesta",IF(AND(AF$7&gt;=TAREAS!$G$61,AF$7&lt;=TAREAS!$H$61,CALENDARIO!$C$127=1),"P",""),IF(ISNUMBER(SEARCH(TEXT(AF$7,"yyyy-mm-dd"),TAREAS!$J$61)),IF(TAREAS!$I$61="Registro Git","R",IF(TAREAS!$I$61="Despliegue documentado","D","L")),""))</f>
        <v/>
      </c>
      <c r="AG14" s="14" t="str">
        <f>IF(TAREAS!$I$61="Propuesta",IF(AND(AG$7&gt;=TAREAS!$G$61,AG$7&lt;=TAREAS!$H$61,CALENDARIO!$C$128=1),"P",""),IF(ISNUMBER(SEARCH(TEXT(AG$7,"yyyy-mm-dd"),TAREAS!$J$61)),IF(TAREAS!$I$61="Registro Git","R",IF(TAREAS!$I$61="Despliegue documentado","D","L")),""))</f>
        <v/>
      </c>
      <c r="AH14" s="14" t="str">
        <f>IF(TAREAS!$I$61="Propuesta",IF(AND(AH$7&gt;=TAREAS!$G$61,AH$7&lt;=TAREAS!$H$61,CALENDARIO!$C$129=1),"P",""),IF(ISNUMBER(SEARCH(TEXT(AH$7,"yyyy-mm-dd"),TAREAS!$J$61)),IF(TAREAS!$I$61="Registro Git","R",IF(TAREAS!$I$61="Despliegue documentado","D","L")),""))</f>
        <v/>
      </c>
      <c r="AI14" s="14" t="str">
        <f>IF(TAREAS!$I$61="Propuesta",IF(AND(AI$7&gt;=TAREAS!$G$61,AI$7&lt;=TAREAS!$H$61,CALENDARIO!$C$130=1),"P",""),IF(ISNUMBER(SEARCH(TEXT(AI$7,"yyyy-mm-dd"),TAREAS!$J$61)),IF(TAREAS!$I$61="Registro Git","R",IF(TAREAS!$I$61="Despliegue documentado","D","L")),""))</f>
        <v/>
      </c>
    </row>
    <row r="15" spans="1:35" ht="72" customHeight="1" x14ac:dyDescent="0.25">
      <c r="A15" s="16" t="str">
        <f>TAREAS!C62</f>
        <v>HU-G09 · Como equipo, queremos requisitos y planificación trazables.</v>
      </c>
      <c r="B15" s="12" t="str">
        <f>TAREAS!A62&amp;" · "&amp;TAREAS!D62</f>
        <v>T-058 · Actualizar documentación, matriz y manual de operación</v>
      </c>
      <c r="C15" s="12" t="str">
        <f>TAREAS!F62</f>
        <v>Sistemas + responsables</v>
      </c>
      <c r="D15" s="13">
        <f t="shared" si="0"/>
        <v>2</v>
      </c>
      <c r="E15" s="14" t="str">
        <f>IF(TAREAS!$I$62="Propuesta",IF(AND(E$7&gt;=TAREAS!$G$62,E$7&lt;=TAREAS!$H$62,CALENDARIO!$C$100=1),"P",""),IF(ISNUMBER(SEARCH(TEXT(E$7,"yyyy-mm-dd"),TAREAS!$J$62)),IF(TAREAS!$I$62="Registro Git","R",IF(TAREAS!$I$62="Despliegue documentado","D","L")),""))</f>
        <v/>
      </c>
      <c r="F15" s="14" t="str">
        <f>IF(TAREAS!$I$62="Propuesta",IF(AND(F$7&gt;=TAREAS!$G$62,F$7&lt;=TAREAS!$H$62,CALENDARIO!$C$101=1),"P",""),IF(ISNUMBER(SEARCH(TEXT(F$7,"yyyy-mm-dd"),TAREAS!$J$62)),IF(TAREAS!$I$62="Registro Git","R",IF(TAREAS!$I$62="Despliegue documentado","D","L")),""))</f>
        <v/>
      </c>
      <c r="G15" s="14" t="str">
        <f>IF(TAREAS!$I$62="Propuesta",IF(AND(G$7&gt;=TAREAS!$G$62,G$7&lt;=TAREAS!$H$62,CALENDARIO!$C$102=1),"P",""),IF(ISNUMBER(SEARCH(TEXT(G$7,"yyyy-mm-dd"),TAREAS!$J$62)),IF(TAREAS!$I$62="Registro Git","R",IF(TAREAS!$I$62="Despliegue documentado","D","L")),""))</f>
        <v/>
      </c>
      <c r="H15" s="14" t="str">
        <f>IF(TAREAS!$I$62="Propuesta",IF(AND(H$7&gt;=TAREAS!$G$62,H$7&lt;=TAREAS!$H$62,CALENDARIO!$C$103=1),"P",""),IF(ISNUMBER(SEARCH(TEXT(H$7,"yyyy-mm-dd"),TAREAS!$J$62)),IF(TAREAS!$I$62="Registro Git","R",IF(TAREAS!$I$62="Despliegue documentado","D","L")),""))</f>
        <v/>
      </c>
      <c r="I15" s="15" t="str">
        <f>IF(TAREAS!$I$62="Propuesta",IF(AND(I$7&gt;=TAREAS!$G$62,I$7&lt;=TAREAS!$H$62,CALENDARIO!$C$104=1),"P",""),IF(ISNUMBER(SEARCH(TEXT(I$7,"yyyy-mm-dd"),TAREAS!$J$62)),IF(TAREAS!$I$62="Registro Git","R",IF(TAREAS!$I$62="Despliegue documentado","D","L")),""))</f>
        <v/>
      </c>
      <c r="J15" s="15" t="str">
        <f>IF(TAREAS!$I$62="Propuesta",IF(AND(J$7&gt;=TAREAS!$G$62,J$7&lt;=TAREAS!$H$62,CALENDARIO!$C$105=1),"P",""),IF(ISNUMBER(SEARCH(TEXT(J$7,"yyyy-mm-dd"),TAREAS!$J$62)),IF(TAREAS!$I$62="Registro Git","R",IF(TAREAS!$I$62="Despliegue documentado","D","L")),""))</f>
        <v/>
      </c>
      <c r="K15" s="14" t="str">
        <f>IF(TAREAS!$I$62="Propuesta",IF(AND(K$7&gt;=TAREAS!$G$62,K$7&lt;=TAREAS!$H$62,CALENDARIO!$C$106=1),"P",""),IF(ISNUMBER(SEARCH(TEXT(K$7,"yyyy-mm-dd"),TAREAS!$J$62)),IF(TAREAS!$I$62="Registro Git","R",IF(TAREAS!$I$62="Despliegue documentado","D","L")),""))</f>
        <v/>
      </c>
      <c r="L15" s="15" t="str">
        <f>IF(TAREAS!$I$62="Propuesta",IF(AND(L$7&gt;=TAREAS!$G$62,L$7&lt;=TAREAS!$H$62,CALENDARIO!$C$107=1),"P",""),IF(ISNUMBER(SEARCH(TEXT(L$7,"yyyy-mm-dd"),TAREAS!$J$62)),IF(TAREAS!$I$62="Registro Git","R",IF(TAREAS!$I$62="Despliegue documentado","D","L")),""))</f>
        <v/>
      </c>
      <c r="M15" s="15" t="str">
        <f>IF(TAREAS!$I$62="Propuesta",IF(AND(M$7&gt;=TAREAS!$G$62,M$7&lt;=TAREAS!$H$62,CALENDARIO!$C$108=1),"P",""),IF(ISNUMBER(SEARCH(TEXT(M$7,"yyyy-mm-dd"),TAREAS!$J$62)),IF(TAREAS!$I$62="Registro Git","R",IF(TAREAS!$I$62="Despliegue documentado","D","L")),""))</f>
        <v/>
      </c>
      <c r="N15" s="14" t="str">
        <f>IF(TAREAS!$I$62="Propuesta",IF(AND(N$7&gt;=TAREAS!$G$62,N$7&lt;=TAREAS!$H$62,CALENDARIO!$C$109=1),"P",""),IF(ISNUMBER(SEARCH(TEXT(N$7,"yyyy-mm-dd"),TAREAS!$J$62)),IF(TAREAS!$I$62="Registro Git","R",IF(TAREAS!$I$62="Despliegue documentado","D","L")),""))</f>
        <v/>
      </c>
      <c r="O15" s="14" t="str">
        <f>IF(TAREAS!$I$62="Propuesta",IF(AND(O$7&gt;=TAREAS!$G$62,O$7&lt;=TAREAS!$H$62,CALENDARIO!$C$110=1),"P",""),IF(ISNUMBER(SEARCH(TEXT(O$7,"yyyy-mm-dd"),TAREAS!$J$62)),IF(TAREAS!$I$62="Registro Git","R",IF(TAREAS!$I$62="Despliegue documentado","D","L")),""))</f>
        <v/>
      </c>
      <c r="P15" s="15" t="str">
        <f>IF(TAREAS!$I$62="Propuesta",IF(AND(P$7&gt;=TAREAS!$G$62,P$7&lt;=TAREAS!$H$62,CALENDARIO!$C$111=1),"P",""),IF(ISNUMBER(SEARCH(TEXT(P$7,"yyyy-mm-dd"),TAREAS!$J$62)),IF(TAREAS!$I$62="Registro Git","R",IF(TAREAS!$I$62="Despliegue documentado","D","L")),""))</f>
        <v/>
      </c>
      <c r="Q15" s="15" t="str">
        <f>IF(TAREAS!$I$62="Propuesta",IF(AND(Q$7&gt;=TAREAS!$G$62,Q$7&lt;=TAREAS!$H$62,CALENDARIO!$C$112=1),"P",""),IF(ISNUMBER(SEARCH(TEXT(Q$7,"yyyy-mm-dd"),TAREAS!$J$62)),IF(TAREAS!$I$62="Registro Git","R",IF(TAREAS!$I$62="Despliegue documentado","D","L")),""))</f>
        <v/>
      </c>
      <c r="R15" s="14" t="str">
        <f>IF(TAREAS!$I$62="Propuesta",IF(AND(R$7&gt;=TAREAS!$G$62,R$7&lt;=TAREAS!$H$62,CALENDARIO!$C$113=1),"P",""),IF(ISNUMBER(SEARCH(TEXT(R$7,"yyyy-mm-dd"),TAREAS!$J$62)),IF(TAREAS!$I$62="Registro Git","R",IF(TAREAS!$I$62="Despliegue documentado","D","L")),""))</f>
        <v/>
      </c>
      <c r="S15" s="14" t="str">
        <f>IF(TAREAS!$I$62="Propuesta",IF(AND(S$7&gt;=TAREAS!$G$62,S$7&lt;=TAREAS!$H$62,CALENDARIO!$C$114=1),"P",""),IF(ISNUMBER(SEARCH(TEXT(S$7,"yyyy-mm-dd"),TAREAS!$J$62)),IF(TAREAS!$I$62="Registro Git","R",IF(TAREAS!$I$62="Despliegue documentado","D","L")),""))</f>
        <v/>
      </c>
      <c r="T15" s="14" t="str">
        <f>IF(TAREAS!$I$62="Propuesta",IF(AND(T$7&gt;=TAREAS!$G$62,T$7&lt;=TAREAS!$H$62,CALENDARIO!$C$115=1),"P",""),IF(ISNUMBER(SEARCH(TEXT(T$7,"yyyy-mm-dd"),TAREAS!$J$62)),IF(TAREAS!$I$62="Registro Git","R",IF(TAREAS!$I$62="Despliegue documentado","D","L")),""))</f>
        <v/>
      </c>
      <c r="U15" s="14" t="str">
        <f>IF(TAREAS!$I$62="Propuesta",IF(AND(U$7&gt;=TAREAS!$G$62,U$7&lt;=TAREAS!$H$62,CALENDARIO!$C$116=1),"P",""),IF(ISNUMBER(SEARCH(TEXT(U$7,"yyyy-mm-dd"),TAREAS!$J$62)),IF(TAREAS!$I$62="Registro Git","R",IF(TAREAS!$I$62="Despliegue documentado","D","L")),""))</f>
        <v/>
      </c>
      <c r="V15" s="14" t="str">
        <f>IF(TAREAS!$I$62="Propuesta",IF(AND(V$7&gt;=TAREAS!$G$62,V$7&lt;=TAREAS!$H$62,CALENDARIO!$C$117=1),"P",""),IF(ISNUMBER(SEARCH(TEXT(V$7,"yyyy-mm-dd"),TAREAS!$J$62)),IF(TAREAS!$I$62="Registro Git","R",IF(TAREAS!$I$62="Despliegue documentado","D","L")),""))</f>
        <v/>
      </c>
      <c r="W15" s="15" t="str">
        <f>IF(TAREAS!$I$62="Propuesta",IF(AND(W$7&gt;=TAREAS!$G$62,W$7&lt;=TAREAS!$H$62,CALENDARIO!$C$118=1),"P",""),IF(ISNUMBER(SEARCH(TEXT(W$7,"yyyy-mm-dd"),TAREAS!$J$62)),IF(TAREAS!$I$62="Registro Git","R",IF(TAREAS!$I$62="Despliegue documentado","D","L")),""))</f>
        <v/>
      </c>
      <c r="X15" s="15" t="str">
        <f>IF(TAREAS!$I$62="Propuesta",IF(AND(X$7&gt;=TAREAS!$G$62,X$7&lt;=TAREAS!$H$62,CALENDARIO!$C$119=1),"P",""),IF(ISNUMBER(SEARCH(TEXT(X$7,"yyyy-mm-dd"),TAREAS!$J$62)),IF(TAREAS!$I$62="Registro Git","R",IF(TAREAS!$I$62="Despliegue documentado","D","L")),""))</f>
        <v/>
      </c>
      <c r="Y15" s="14" t="str">
        <f>IF(TAREAS!$I$62="Propuesta",IF(AND(Y$7&gt;=TAREAS!$G$62,Y$7&lt;=TAREAS!$H$62,CALENDARIO!$C$120=1),"P",""),IF(ISNUMBER(SEARCH(TEXT(Y$7,"yyyy-mm-dd"),TAREAS!$J$62)),IF(TAREAS!$I$62="Registro Git","R",IF(TAREAS!$I$62="Despliegue documentado","D","L")),""))</f>
        <v/>
      </c>
      <c r="Z15" s="14" t="str">
        <f>IF(TAREAS!$I$62="Propuesta",IF(AND(Z$7&gt;=TAREAS!$G$62,Z$7&lt;=TAREAS!$H$62,CALENDARIO!$C$121=1),"P",""),IF(ISNUMBER(SEARCH(TEXT(Z$7,"yyyy-mm-dd"),TAREAS!$J$62)),IF(TAREAS!$I$62="Registro Git","R",IF(TAREAS!$I$62="Despliegue documentado","D","L")),""))</f>
        <v/>
      </c>
      <c r="AA15" s="14" t="str">
        <f>IF(TAREAS!$I$62="Propuesta",IF(AND(AA$7&gt;=TAREAS!$G$62,AA$7&lt;=TAREAS!$H$62,CALENDARIO!$C$122=1),"P",""),IF(ISNUMBER(SEARCH(TEXT(AA$7,"yyyy-mm-dd"),TAREAS!$J$62)),IF(TAREAS!$I$62="Registro Git","R",IF(TAREAS!$I$62="Despliegue documentado","D","L")),""))</f>
        <v/>
      </c>
      <c r="AB15" s="14" t="str">
        <f>IF(TAREAS!$I$62="Propuesta",IF(AND(AB$7&gt;=TAREAS!$G$62,AB$7&lt;=TAREAS!$H$62,CALENDARIO!$C$123=1),"P",""),IF(ISNUMBER(SEARCH(TEXT(AB$7,"yyyy-mm-dd"),TAREAS!$J$62)),IF(TAREAS!$I$62="Registro Git","R",IF(TAREAS!$I$62="Despliegue documentado","D","L")),""))</f>
        <v>P</v>
      </c>
      <c r="AC15" s="15" t="str">
        <f>IF(TAREAS!$I$62="Propuesta",IF(AND(AC$7&gt;=TAREAS!$G$62,AC$7&lt;=TAREAS!$H$62,CALENDARIO!$C$124=1),"P",""),IF(ISNUMBER(SEARCH(TEXT(AC$7,"yyyy-mm-dd"),TAREAS!$J$62)),IF(TAREAS!$I$62="Registro Git","R",IF(TAREAS!$I$62="Despliegue documentado","D","L")),""))</f>
        <v/>
      </c>
      <c r="AD15" s="15" t="str">
        <f>IF(TAREAS!$I$62="Propuesta",IF(AND(AD$7&gt;=TAREAS!$G$62,AD$7&lt;=TAREAS!$H$62,CALENDARIO!$C$125=1),"P",""),IF(ISNUMBER(SEARCH(TEXT(AD$7,"yyyy-mm-dd"),TAREAS!$J$62)),IF(TAREAS!$I$62="Registro Git","R",IF(TAREAS!$I$62="Despliegue documentado","D","L")),""))</f>
        <v/>
      </c>
      <c r="AE15" s="15" t="str">
        <f>IF(TAREAS!$I$62="Propuesta",IF(AND(AE$7&gt;=TAREAS!$G$62,AE$7&lt;=TAREAS!$H$62,CALENDARIO!$C$126=1),"P",""),IF(ISNUMBER(SEARCH(TEXT(AE$7,"yyyy-mm-dd"),TAREAS!$J$62)),IF(TAREAS!$I$62="Registro Git","R",IF(TAREAS!$I$62="Despliegue documentado","D","L")),""))</f>
        <v/>
      </c>
      <c r="AF15" s="14" t="str">
        <f>IF(TAREAS!$I$62="Propuesta",IF(AND(AF$7&gt;=TAREAS!$G$62,AF$7&lt;=TAREAS!$H$62,CALENDARIO!$C$127=1),"P",""),IF(ISNUMBER(SEARCH(TEXT(AF$7,"yyyy-mm-dd"),TAREAS!$J$62)),IF(TAREAS!$I$62="Registro Git","R",IF(TAREAS!$I$62="Despliegue documentado","D","L")),""))</f>
        <v>P</v>
      </c>
      <c r="AG15" s="14" t="str">
        <f>IF(TAREAS!$I$62="Propuesta",IF(AND(AG$7&gt;=TAREAS!$G$62,AG$7&lt;=TAREAS!$H$62,CALENDARIO!$C$128=1),"P",""),IF(ISNUMBER(SEARCH(TEXT(AG$7,"yyyy-mm-dd"),TAREAS!$J$62)),IF(TAREAS!$I$62="Registro Git","R",IF(TAREAS!$I$62="Despliegue documentado","D","L")),""))</f>
        <v/>
      </c>
      <c r="AH15" s="14" t="str">
        <f>IF(TAREAS!$I$62="Propuesta",IF(AND(AH$7&gt;=TAREAS!$G$62,AH$7&lt;=TAREAS!$H$62,CALENDARIO!$C$129=1),"P",""),IF(ISNUMBER(SEARCH(TEXT(AH$7,"yyyy-mm-dd"),TAREAS!$J$62)),IF(TAREAS!$I$62="Registro Git","R",IF(TAREAS!$I$62="Despliegue documentado","D","L")),""))</f>
        <v/>
      </c>
      <c r="AI15" s="14" t="str">
        <f>IF(TAREAS!$I$62="Propuesta",IF(AND(AI$7&gt;=TAREAS!$G$62,AI$7&lt;=TAREAS!$H$62,CALENDARIO!$C$130=1),"P",""),IF(ISNUMBER(SEARCH(TEXT(AI$7,"yyyy-mm-dd"),TAREAS!$J$62)),IF(TAREAS!$I$62="Registro Git","R",IF(TAREAS!$I$62="Despliegue documentado","D","L")),""))</f>
        <v/>
      </c>
    </row>
    <row r="16" spans="1:35" ht="72" customHeight="1" x14ac:dyDescent="0.25">
      <c r="A16" s="20" t="str">
        <f>TAREAS!C63</f>
        <v>HU-G12 · Como Dirección, quiero validar la adopción y priorizar el siguiente periodo.</v>
      </c>
      <c r="B16" s="12" t="str">
        <f>TAREAS!A63&amp;" · "&amp;TAREAS!D63</f>
        <v>T-059 · Revisar adopción y priorizar propuestas para enero</v>
      </c>
      <c r="C16" s="12" t="str">
        <f>TAREAS!F63</f>
        <v>Dirección + responsables</v>
      </c>
      <c r="D16" s="13">
        <f t="shared" si="0"/>
        <v>2</v>
      </c>
      <c r="E16" s="14" t="str">
        <f>IF(TAREAS!$I$63="Propuesta",IF(AND(E$7&gt;=TAREAS!$G$63,E$7&lt;=TAREAS!$H$63,CALENDARIO!$C$100=1),"P",""),IF(ISNUMBER(SEARCH(TEXT(E$7,"yyyy-mm-dd"),TAREAS!$J$63)),IF(TAREAS!$I$63="Registro Git","R",IF(TAREAS!$I$63="Despliegue documentado","D","L")),""))</f>
        <v/>
      </c>
      <c r="F16" s="14" t="str">
        <f>IF(TAREAS!$I$63="Propuesta",IF(AND(F$7&gt;=TAREAS!$G$63,F$7&lt;=TAREAS!$H$63,CALENDARIO!$C$101=1),"P",""),IF(ISNUMBER(SEARCH(TEXT(F$7,"yyyy-mm-dd"),TAREAS!$J$63)),IF(TAREAS!$I$63="Registro Git","R",IF(TAREAS!$I$63="Despliegue documentado","D","L")),""))</f>
        <v/>
      </c>
      <c r="G16" s="14" t="str">
        <f>IF(TAREAS!$I$63="Propuesta",IF(AND(G$7&gt;=TAREAS!$G$63,G$7&lt;=TAREAS!$H$63,CALENDARIO!$C$102=1),"P",""),IF(ISNUMBER(SEARCH(TEXT(G$7,"yyyy-mm-dd"),TAREAS!$J$63)),IF(TAREAS!$I$63="Registro Git","R",IF(TAREAS!$I$63="Despliegue documentado","D","L")),""))</f>
        <v/>
      </c>
      <c r="H16" s="14" t="str">
        <f>IF(TAREAS!$I$63="Propuesta",IF(AND(H$7&gt;=TAREAS!$G$63,H$7&lt;=TAREAS!$H$63,CALENDARIO!$C$103=1),"P",""),IF(ISNUMBER(SEARCH(TEXT(H$7,"yyyy-mm-dd"),TAREAS!$J$63)),IF(TAREAS!$I$63="Registro Git","R",IF(TAREAS!$I$63="Despliegue documentado","D","L")),""))</f>
        <v/>
      </c>
      <c r="I16" s="15" t="str">
        <f>IF(TAREAS!$I$63="Propuesta",IF(AND(I$7&gt;=TAREAS!$G$63,I$7&lt;=TAREAS!$H$63,CALENDARIO!$C$104=1),"P",""),IF(ISNUMBER(SEARCH(TEXT(I$7,"yyyy-mm-dd"),TAREAS!$J$63)),IF(TAREAS!$I$63="Registro Git","R",IF(TAREAS!$I$63="Despliegue documentado","D","L")),""))</f>
        <v/>
      </c>
      <c r="J16" s="15" t="str">
        <f>IF(TAREAS!$I$63="Propuesta",IF(AND(J$7&gt;=TAREAS!$G$63,J$7&lt;=TAREAS!$H$63,CALENDARIO!$C$105=1),"P",""),IF(ISNUMBER(SEARCH(TEXT(J$7,"yyyy-mm-dd"),TAREAS!$J$63)),IF(TAREAS!$I$63="Registro Git","R",IF(TAREAS!$I$63="Despliegue documentado","D","L")),""))</f>
        <v/>
      </c>
      <c r="K16" s="14" t="str">
        <f>IF(TAREAS!$I$63="Propuesta",IF(AND(K$7&gt;=TAREAS!$G$63,K$7&lt;=TAREAS!$H$63,CALENDARIO!$C$106=1),"P",""),IF(ISNUMBER(SEARCH(TEXT(K$7,"yyyy-mm-dd"),TAREAS!$J$63)),IF(TAREAS!$I$63="Registro Git","R",IF(TAREAS!$I$63="Despliegue documentado","D","L")),""))</f>
        <v/>
      </c>
      <c r="L16" s="15" t="str">
        <f>IF(TAREAS!$I$63="Propuesta",IF(AND(L$7&gt;=TAREAS!$G$63,L$7&lt;=TAREAS!$H$63,CALENDARIO!$C$107=1),"P",""),IF(ISNUMBER(SEARCH(TEXT(L$7,"yyyy-mm-dd"),TAREAS!$J$63)),IF(TAREAS!$I$63="Registro Git","R",IF(TAREAS!$I$63="Despliegue documentado","D","L")),""))</f>
        <v/>
      </c>
      <c r="M16" s="15" t="str">
        <f>IF(TAREAS!$I$63="Propuesta",IF(AND(M$7&gt;=TAREAS!$G$63,M$7&lt;=TAREAS!$H$63,CALENDARIO!$C$108=1),"P",""),IF(ISNUMBER(SEARCH(TEXT(M$7,"yyyy-mm-dd"),TAREAS!$J$63)),IF(TAREAS!$I$63="Registro Git","R",IF(TAREAS!$I$63="Despliegue documentado","D","L")),""))</f>
        <v/>
      </c>
      <c r="N16" s="14" t="str">
        <f>IF(TAREAS!$I$63="Propuesta",IF(AND(N$7&gt;=TAREAS!$G$63,N$7&lt;=TAREAS!$H$63,CALENDARIO!$C$109=1),"P",""),IF(ISNUMBER(SEARCH(TEXT(N$7,"yyyy-mm-dd"),TAREAS!$J$63)),IF(TAREAS!$I$63="Registro Git","R",IF(TAREAS!$I$63="Despliegue documentado","D","L")),""))</f>
        <v/>
      </c>
      <c r="O16" s="14" t="str">
        <f>IF(TAREAS!$I$63="Propuesta",IF(AND(O$7&gt;=TAREAS!$G$63,O$7&lt;=TAREAS!$H$63,CALENDARIO!$C$110=1),"P",""),IF(ISNUMBER(SEARCH(TEXT(O$7,"yyyy-mm-dd"),TAREAS!$J$63)),IF(TAREAS!$I$63="Registro Git","R",IF(TAREAS!$I$63="Despliegue documentado","D","L")),""))</f>
        <v/>
      </c>
      <c r="P16" s="15" t="str">
        <f>IF(TAREAS!$I$63="Propuesta",IF(AND(P$7&gt;=TAREAS!$G$63,P$7&lt;=TAREAS!$H$63,CALENDARIO!$C$111=1),"P",""),IF(ISNUMBER(SEARCH(TEXT(P$7,"yyyy-mm-dd"),TAREAS!$J$63)),IF(TAREAS!$I$63="Registro Git","R",IF(TAREAS!$I$63="Despliegue documentado","D","L")),""))</f>
        <v/>
      </c>
      <c r="Q16" s="15" t="str">
        <f>IF(TAREAS!$I$63="Propuesta",IF(AND(Q$7&gt;=TAREAS!$G$63,Q$7&lt;=TAREAS!$H$63,CALENDARIO!$C$112=1),"P",""),IF(ISNUMBER(SEARCH(TEXT(Q$7,"yyyy-mm-dd"),TAREAS!$J$63)),IF(TAREAS!$I$63="Registro Git","R",IF(TAREAS!$I$63="Despliegue documentado","D","L")),""))</f>
        <v/>
      </c>
      <c r="R16" s="14" t="str">
        <f>IF(TAREAS!$I$63="Propuesta",IF(AND(R$7&gt;=TAREAS!$G$63,R$7&lt;=TAREAS!$H$63,CALENDARIO!$C$113=1),"P",""),IF(ISNUMBER(SEARCH(TEXT(R$7,"yyyy-mm-dd"),TAREAS!$J$63)),IF(TAREAS!$I$63="Registro Git","R",IF(TAREAS!$I$63="Despliegue documentado","D","L")),""))</f>
        <v/>
      </c>
      <c r="S16" s="14" t="str">
        <f>IF(TAREAS!$I$63="Propuesta",IF(AND(S$7&gt;=TAREAS!$G$63,S$7&lt;=TAREAS!$H$63,CALENDARIO!$C$114=1),"P",""),IF(ISNUMBER(SEARCH(TEXT(S$7,"yyyy-mm-dd"),TAREAS!$J$63)),IF(TAREAS!$I$63="Registro Git","R",IF(TAREAS!$I$63="Despliegue documentado","D","L")),""))</f>
        <v/>
      </c>
      <c r="T16" s="14" t="str">
        <f>IF(TAREAS!$I$63="Propuesta",IF(AND(T$7&gt;=TAREAS!$G$63,T$7&lt;=TAREAS!$H$63,CALENDARIO!$C$115=1),"P",""),IF(ISNUMBER(SEARCH(TEXT(T$7,"yyyy-mm-dd"),TAREAS!$J$63)),IF(TAREAS!$I$63="Registro Git","R",IF(TAREAS!$I$63="Despliegue documentado","D","L")),""))</f>
        <v/>
      </c>
      <c r="U16" s="14" t="str">
        <f>IF(TAREAS!$I$63="Propuesta",IF(AND(U$7&gt;=TAREAS!$G$63,U$7&lt;=TAREAS!$H$63,CALENDARIO!$C$116=1),"P",""),IF(ISNUMBER(SEARCH(TEXT(U$7,"yyyy-mm-dd"),TAREAS!$J$63)),IF(TAREAS!$I$63="Registro Git","R",IF(TAREAS!$I$63="Despliegue documentado","D","L")),""))</f>
        <v/>
      </c>
      <c r="V16" s="14" t="str">
        <f>IF(TAREAS!$I$63="Propuesta",IF(AND(V$7&gt;=TAREAS!$G$63,V$7&lt;=TAREAS!$H$63,CALENDARIO!$C$117=1),"P",""),IF(ISNUMBER(SEARCH(TEXT(V$7,"yyyy-mm-dd"),TAREAS!$J$63)),IF(TAREAS!$I$63="Registro Git","R",IF(TAREAS!$I$63="Despliegue documentado","D","L")),""))</f>
        <v/>
      </c>
      <c r="W16" s="15" t="str">
        <f>IF(TAREAS!$I$63="Propuesta",IF(AND(W$7&gt;=TAREAS!$G$63,W$7&lt;=TAREAS!$H$63,CALENDARIO!$C$118=1),"P",""),IF(ISNUMBER(SEARCH(TEXT(W$7,"yyyy-mm-dd"),TAREAS!$J$63)),IF(TAREAS!$I$63="Registro Git","R",IF(TAREAS!$I$63="Despliegue documentado","D","L")),""))</f>
        <v/>
      </c>
      <c r="X16" s="15" t="str">
        <f>IF(TAREAS!$I$63="Propuesta",IF(AND(X$7&gt;=TAREAS!$G$63,X$7&lt;=TAREAS!$H$63,CALENDARIO!$C$119=1),"P",""),IF(ISNUMBER(SEARCH(TEXT(X$7,"yyyy-mm-dd"),TAREAS!$J$63)),IF(TAREAS!$I$63="Registro Git","R",IF(TAREAS!$I$63="Despliegue documentado","D","L")),""))</f>
        <v/>
      </c>
      <c r="Y16" s="14" t="str">
        <f>IF(TAREAS!$I$63="Propuesta",IF(AND(Y$7&gt;=TAREAS!$G$63,Y$7&lt;=TAREAS!$H$63,CALENDARIO!$C$120=1),"P",""),IF(ISNUMBER(SEARCH(TEXT(Y$7,"yyyy-mm-dd"),TAREAS!$J$63)),IF(TAREAS!$I$63="Registro Git","R",IF(TAREAS!$I$63="Despliegue documentado","D","L")),""))</f>
        <v/>
      </c>
      <c r="Z16" s="14" t="str">
        <f>IF(TAREAS!$I$63="Propuesta",IF(AND(Z$7&gt;=TAREAS!$G$63,Z$7&lt;=TAREAS!$H$63,CALENDARIO!$C$121=1),"P",""),IF(ISNUMBER(SEARCH(TEXT(Z$7,"yyyy-mm-dd"),TAREAS!$J$63)),IF(TAREAS!$I$63="Registro Git","R",IF(TAREAS!$I$63="Despliegue documentado","D","L")),""))</f>
        <v/>
      </c>
      <c r="AA16" s="14" t="str">
        <f>IF(TAREAS!$I$63="Propuesta",IF(AND(AA$7&gt;=TAREAS!$G$63,AA$7&lt;=TAREAS!$H$63,CALENDARIO!$C$122=1),"P",""),IF(ISNUMBER(SEARCH(TEXT(AA$7,"yyyy-mm-dd"),TAREAS!$J$63)),IF(TAREAS!$I$63="Registro Git","R",IF(TAREAS!$I$63="Despliegue documentado","D","L")),""))</f>
        <v/>
      </c>
      <c r="AB16" s="14" t="str">
        <f>IF(TAREAS!$I$63="Propuesta",IF(AND(AB$7&gt;=TAREAS!$G$63,AB$7&lt;=TAREAS!$H$63,CALENDARIO!$C$123=1),"P",""),IF(ISNUMBER(SEARCH(TEXT(AB$7,"yyyy-mm-dd"),TAREAS!$J$63)),IF(TAREAS!$I$63="Registro Git","R",IF(TAREAS!$I$63="Despliegue documentado","D","L")),""))</f>
        <v/>
      </c>
      <c r="AC16" s="15" t="str">
        <f>IF(TAREAS!$I$63="Propuesta",IF(AND(AC$7&gt;=TAREAS!$G$63,AC$7&lt;=TAREAS!$H$63,CALENDARIO!$C$124=1),"P",""),IF(ISNUMBER(SEARCH(TEXT(AC$7,"yyyy-mm-dd"),TAREAS!$J$63)),IF(TAREAS!$I$63="Registro Git","R",IF(TAREAS!$I$63="Despliegue documentado","D","L")),""))</f>
        <v/>
      </c>
      <c r="AD16" s="15" t="str">
        <f>IF(TAREAS!$I$63="Propuesta",IF(AND(AD$7&gt;=TAREAS!$G$63,AD$7&lt;=TAREAS!$H$63,CALENDARIO!$C$125=1),"P",""),IF(ISNUMBER(SEARCH(TEXT(AD$7,"yyyy-mm-dd"),TAREAS!$J$63)),IF(TAREAS!$I$63="Registro Git","R",IF(TAREAS!$I$63="Despliegue documentado","D","L")),""))</f>
        <v/>
      </c>
      <c r="AE16" s="15" t="str">
        <f>IF(TAREAS!$I$63="Propuesta",IF(AND(AE$7&gt;=TAREAS!$G$63,AE$7&lt;=TAREAS!$H$63,CALENDARIO!$C$126=1),"P",""),IF(ISNUMBER(SEARCH(TEXT(AE$7,"yyyy-mm-dd"),TAREAS!$J$63)),IF(TAREAS!$I$63="Registro Git","R",IF(TAREAS!$I$63="Despliegue documentado","D","L")),""))</f>
        <v/>
      </c>
      <c r="AF16" s="14" t="str">
        <f>IF(TAREAS!$I$63="Propuesta",IF(AND(AF$7&gt;=TAREAS!$G$63,AF$7&lt;=TAREAS!$H$63,CALENDARIO!$C$127=1),"P",""),IF(ISNUMBER(SEARCH(TEXT(AF$7,"yyyy-mm-dd"),TAREAS!$J$63)),IF(TAREAS!$I$63="Registro Git","R",IF(TAREAS!$I$63="Despliegue documentado","D","L")),""))</f>
        <v/>
      </c>
      <c r="AG16" s="14" t="str">
        <f>IF(TAREAS!$I$63="Propuesta",IF(AND(AG$7&gt;=TAREAS!$G$63,AG$7&lt;=TAREAS!$H$63,CALENDARIO!$C$128=1),"P",""),IF(ISNUMBER(SEARCH(TEXT(AG$7,"yyyy-mm-dd"),TAREAS!$J$63)),IF(TAREAS!$I$63="Registro Git","R",IF(TAREAS!$I$63="Despliegue documentado","D","L")),""))</f>
        <v>P</v>
      </c>
      <c r="AH16" s="14" t="str">
        <f>IF(TAREAS!$I$63="Propuesta",IF(AND(AH$7&gt;=TAREAS!$G$63,AH$7&lt;=TAREAS!$H$63,CALENDARIO!$C$129=1),"P",""),IF(ISNUMBER(SEARCH(TEXT(AH$7,"yyyy-mm-dd"),TAREAS!$J$63)),IF(TAREAS!$I$63="Registro Git","R",IF(TAREAS!$I$63="Despliegue documentado","D","L")),""))</f>
        <v>P</v>
      </c>
      <c r="AI16" s="14" t="str">
        <f>IF(TAREAS!$I$63="Propuesta",IF(AND(AI$7&gt;=TAREAS!$G$63,AI$7&lt;=TAREAS!$H$63,CALENDARIO!$C$130=1),"P",""),IF(ISNUMBER(SEARCH(TEXT(AI$7,"yyyy-mm-dd"),TAREAS!$J$63)),IF(TAREAS!$I$63="Registro Git","R",IF(TAREAS!$I$63="Despliegue documentado","D","L")),""))</f>
        <v/>
      </c>
    </row>
    <row r="17" spans="1:35" ht="72" customHeight="1" x14ac:dyDescent="0.25">
      <c r="A17" s="16" t="str">
        <f>TAREAS!C64</f>
        <v>HU-G09 · Como equipo, queremos requisitos y planificación trazables.</v>
      </c>
      <c r="B17" s="12" t="str">
        <f>TAREAS!A64&amp;" · "&amp;TAREAS!D64</f>
        <v>T-060 · Revisión y retrospectiva del Sprint 4; cierre anual</v>
      </c>
      <c r="C17" s="12" t="str">
        <f>TAREAS!F64</f>
        <v>Dirección + equipo</v>
      </c>
      <c r="D17" s="13">
        <f t="shared" si="0"/>
        <v>1</v>
      </c>
      <c r="E17" s="14" t="str">
        <f>IF(TAREAS!$I$64="Propuesta",IF(AND(E$7&gt;=TAREAS!$G$64,E$7&lt;=TAREAS!$H$64,CALENDARIO!$C$100=1),"P",""),IF(ISNUMBER(SEARCH(TEXT(E$7,"yyyy-mm-dd"),TAREAS!$J$64)),IF(TAREAS!$I$64="Registro Git","R",IF(TAREAS!$I$64="Despliegue documentado","D","L")),""))</f>
        <v/>
      </c>
      <c r="F17" s="14" t="str">
        <f>IF(TAREAS!$I$64="Propuesta",IF(AND(F$7&gt;=TAREAS!$G$64,F$7&lt;=TAREAS!$H$64,CALENDARIO!$C$101=1),"P",""),IF(ISNUMBER(SEARCH(TEXT(F$7,"yyyy-mm-dd"),TAREAS!$J$64)),IF(TAREAS!$I$64="Registro Git","R",IF(TAREAS!$I$64="Despliegue documentado","D","L")),""))</f>
        <v/>
      </c>
      <c r="G17" s="14" t="str">
        <f>IF(TAREAS!$I$64="Propuesta",IF(AND(G$7&gt;=TAREAS!$G$64,G$7&lt;=TAREAS!$H$64,CALENDARIO!$C$102=1),"P",""),IF(ISNUMBER(SEARCH(TEXT(G$7,"yyyy-mm-dd"),TAREAS!$J$64)),IF(TAREAS!$I$64="Registro Git","R",IF(TAREAS!$I$64="Despliegue documentado","D","L")),""))</f>
        <v/>
      </c>
      <c r="H17" s="14" t="str">
        <f>IF(TAREAS!$I$64="Propuesta",IF(AND(H$7&gt;=TAREAS!$G$64,H$7&lt;=TAREAS!$H$64,CALENDARIO!$C$103=1),"P",""),IF(ISNUMBER(SEARCH(TEXT(H$7,"yyyy-mm-dd"),TAREAS!$J$64)),IF(TAREAS!$I$64="Registro Git","R",IF(TAREAS!$I$64="Despliegue documentado","D","L")),""))</f>
        <v/>
      </c>
      <c r="I17" s="15" t="str">
        <f>IF(TAREAS!$I$64="Propuesta",IF(AND(I$7&gt;=TAREAS!$G$64,I$7&lt;=TAREAS!$H$64,CALENDARIO!$C$104=1),"P",""),IF(ISNUMBER(SEARCH(TEXT(I$7,"yyyy-mm-dd"),TAREAS!$J$64)),IF(TAREAS!$I$64="Registro Git","R",IF(TAREAS!$I$64="Despliegue documentado","D","L")),""))</f>
        <v/>
      </c>
      <c r="J17" s="15" t="str">
        <f>IF(TAREAS!$I$64="Propuesta",IF(AND(J$7&gt;=TAREAS!$G$64,J$7&lt;=TAREAS!$H$64,CALENDARIO!$C$105=1),"P",""),IF(ISNUMBER(SEARCH(TEXT(J$7,"yyyy-mm-dd"),TAREAS!$J$64)),IF(TAREAS!$I$64="Registro Git","R",IF(TAREAS!$I$64="Despliegue documentado","D","L")),""))</f>
        <v/>
      </c>
      <c r="K17" s="14" t="str">
        <f>IF(TAREAS!$I$64="Propuesta",IF(AND(K$7&gt;=TAREAS!$G$64,K$7&lt;=TAREAS!$H$64,CALENDARIO!$C$106=1),"P",""),IF(ISNUMBER(SEARCH(TEXT(K$7,"yyyy-mm-dd"),TAREAS!$J$64)),IF(TAREAS!$I$64="Registro Git","R",IF(TAREAS!$I$64="Despliegue documentado","D","L")),""))</f>
        <v/>
      </c>
      <c r="L17" s="15" t="str">
        <f>IF(TAREAS!$I$64="Propuesta",IF(AND(L$7&gt;=TAREAS!$G$64,L$7&lt;=TAREAS!$H$64,CALENDARIO!$C$107=1),"P",""),IF(ISNUMBER(SEARCH(TEXT(L$7,"yyyy-mm-dd"),TAREAS!$J$64)),IF(TAREAS!$I$64="Registro Git","R",IF(TAREAS!$I$64="Despliegue documentado","D","L")),""))</f>
        <v/>
      </c>
      <c r="M17" s="15" t="str">
        <f>IF(TAREAS!$I$64="Propuesta",IF(AND(M$7&gt;=TAREAS!$G$64,M$7&lt;=TAREAS!$H$64,CALENDARIO!$C$108=1),"P",""),IF(ISNUMBER(SEARCH(TEXT(M$7,"yyyy-mm-dd"),TAREAS!$J$64)),IF(TAREAS!$I$64="Registro Git","R",IF(TAREAS!$I$64="Despliegue documentado","D","L")),""))</f>
        <v/>
      </c>
      <c r="N17" s="14" t="str">
        <f>IF(TAREAS!$I$64="Propuesta",IF(AND(N$7&gt;=TAREAS!$G$64,N$7&lt;=TAREAS!$H$64,CALENDARIO!$C$109=1),"P",""),IF(ISNUMBER(SEARCH(TEXT(N$7,"yyyy-mm-dd"),TAREAS!$J$64)),IF(TAREAS!$I$64="Registro Git","R",IF(TAREAS!$I$64="Despliegue documentado","D","L")),""))</f>
        <v/>
      </c>
      <c r="O17" s="14" t="str">
        <f>IF(TAREAS!$I$64="Propuesta",IF(AND(O$7&gt;=TAREAS!$G$64,O$7&lt;=TAREAS!$H$64,CALENDARIO!$C$110=1),"P",""),IF(ISNUMBER(SEARCH(TEXT(O$7,"yyyy-mm-dd"),TAREAS!$J$64)),IF(TAREAS!$I$64="Registro Git","R",IF(TAREAS!$I$64="Despliegue documentado","D","L")),""))</f>
        <v/>
      </c>
      <c r="P17" s="15" t="str">
        <f>IF(TAREAS!$I$64="Propuesta",IF(AND(P$7&gt;=TAREAS!$G$64,P$7&lt;=TAREAS!$H$64,CALENDARIO!$C$111=1),"P",""),IF(ISNUMBER(SEARCH(TEXT(P$7,"yyyy-mm-dd"),TAREAS!$J$64)),IF(TAREAS!$I$64="Registro Git","R",IF(TAREAS!$I$64="Despliegue documentado","D","L")),""))</f>
        <v/>
      </c>
      <c r="Q17" s="15" t="str">
        <f>IF(TAREAS!$I$64="Propuesta",IF(AND(Q$7&gt;=TAREAS!$G$64,Q$7&lt;=TAREAS!$H$64,CALENDARIO!$C$112=1),"P",""),IF(ISNUMBER(SEARCH(TEXT(Q$7,"yyyy-mm-dd"),TAREAS!$J$64)),IF(TAREAS!$I$64="Registro Git","R",IF(TAREAS!$I$64="Despliegue documentado","D","L")),""))</f>
        <v/>
      </c>
      <c r="R17" s="14" t="str">
        <f>IF(TAREAS!$I$64="Propuesta",IF(AND(R$7&gt;=TAREAS!$G$64,R$7&lt;=TAREAS!$H$64,CALENDARIO!$C$113=1),"P",""),IF(ISNUMBER(SEARCH(TEXT(R$7,"yyyy-mm-dd"),TAREAS!$J$64)),IF(TAREAS!$I$64="Registro Git","R",IF(TAREAS!$I$64="Despliegue documentado","D","L")),""))</f>
        <v/>
      </c>
      <c r="S17" s="14" t="str">
        <f>IF(TAREAS!$I$64="Propuesta",IF(AND(S$7&gt;=TAREAS!$G$64,S$7&lt;=TAREAS!$H$64,CALENDARIO!$C$114=1),"P",""),IF(ISNUMBER(SEARCH(TEXT(S$7,"yyyy-mm-dd"),TAREAS!$J$64)),IF(TAREAS!$I$64="Registro Git","R",IF(TAREAS!$I$64="Despliegue documentado","D","L")),""))</f>
        <v/>
      </c>
      <c r="T17" s="14" t="str">
        <f>IF(TAREAS!$I$64="Propuesta",IF(AND(T$7&gt;=TAREAS!$G$64,T$7&lt;=TAREAS!$H$64,CALENDARIO!$C$115=1),"P",""),IF(ISNUMBER(SEARCH(TEXT(T$7,"yyyy-mm-dd"),TAREAS!$J$64)),IF(TAREAS!$I$64="Registro Git","R",IF(TAREAS!$I$64="Despliegue documentado","D","L")),""))</f>
        <v/>
      </c>
      <c r="U17" s="14" t="str">
        <f>IF(TAREAS!$I$64="Propuesta",IF(AND(U$7&gt;=TAREAS!$G$64,U$7&lt;=TAREAS!$H$64,CALENDARIO!$C$116=1),"P",""),IF(ISNUMBER(SEARCH(TEXT(U$7,"yyyy-mm-dd"),TAREAS!$J$64)),IF(TAREAS!$I$64="Registro Git","R",IF(TAREAS!$I$64="Despliegue documentado","D","L")),""))</f>
        <v/>
      </c>
      <c r="V17" s="14" t="str">
        <f>IF(TAREAS!$I$64="Propuesta",IF(AND(V$7&gt;=TAREAS!$G$64,V$7&lt;=TAREAS!$H$64,CALENDARIO!$C$117=1),"P",""),IF(ISNUMBER(SEARCH(TEXT(V$7,"yyyy-mm-dd"),TAREAS!$J$64)),IF(TAREAS!$I$64="Registro Git","R",IF(TAREAS!$I$64="Despliegue documentado","D","L")),""))</f>
        <v/>
      </c>
      <c r="W17" s="15" t="str">
        <f>IF(TAREAS!$I$64="Propuesta",IF(AND(W$7&gt;=TAREAS!$G$64,W$7&lt;=TAREAS!$H$64,CALENDARIO!$C$118=1),"P",""),IF(ISNUMBER(SEARCH(TEXT(W$7,"yyyy-mm-dd"),TAREAS!$J$64)),IF(TAREAS!$I$64="Registro Git","R",IF(TAREAS!$I$64="Despliegue documentado","D","L")),""))</f>
        <v/>
      </c>
      <c r="X17" s="15" t="str">
        <f>IF(TAREAS!$I$64="Propuesta",IF(AND(X$7&gt;=TAREAS!$G$64,X$7&lt;=TAREAS!$H$64,CALENDARIO!$C$119=1),"P",""),IF(ISNUMBER(SEARCH(TEXT(X$7,"yyyy-mm-dd"),TAREAS!$J$64)),IF(TAREAS!$I$64="Registro Git","R",IF(TAREAS!$I$64="Despliegue documentado","D","L")),""))</f>
        <v/>
      </c>
      <c r="Y17" s="14" t="str">
        <f>IF(TAREAS!$I$64="Propuesta",IF(AND(Y$7&gt;=TAREAS!$G$64,Y$7&lt;=TAREAS!$H$64,CALENDARIO!$C$120=1),"P",""),IF(ISNUMBER(SEARCH(TEXT(Y$7,"yyyy-mm-dd"),TAREAS!$J$64)),IF(TAREAS!$I$64="Registro Git","R",IF(TAREAS!$I$64="Despliegue documentado","D","L")),""))</f>
        <v/>
      </c>
      <c r="Z17" s="14" t="str">
        <f>IF(TAREAS!$I$64="Propuesta",IF(AND(Z$7&gt;=TAREAS!$G$64,Z$7&lt;=TAREAS!$H$64,CALENDARIO!$C$121=1),"P",""),IF(ISNUMBER(SEARCH(TEXT(Z$7,"yyyy-mm-dd"),TAREAS!$J$64)),IF(TAREAS!$I$64="Registro Git","R",IF(TAREAS!$I$64="Despliegue documentado","D","L")),""))</f>
        <v/>
      </c>
      <c r="AA17" s="14" t="str">
        <f>IF(TAREAS!$I$64="Propuesta",IF(AND(AA$7&gt;=TAREAS!$G$64,AA$7&lt;=TAREAS!$H$64,CALENDARIO!$C$122=1),"P",""),IF(ISNUMBER(SEARCH(TEXT(AA$7,"yyyy-mm-dd"),TAREAS!$J$64)),IF(TAREAS!$I$64="Registro Git","R",IF(TAREAS!$I$64="Despliegue documentado","D","L")),""))</f>
        <v/>
      </c>
      <c r="AB17" s="14" t="str">
        <f>IF(TAREAS!$I$64="Propuesta",IF(AND(AB$7&gt;=TAREAS!$G$64,AB$7&lt;=TAREAS!$H$64,CALENDARIO!$C$123=1),"P",""),IF(ISNUMBER(SEARCH(TEXT(AB$7,"yyyy-mm-dd"),TAREAS!$J$64)),IF(TAREAS!$I$64="Registro Git","R",IF(TAREAS!$I$64="Despliegue documentado","D","L")),""))</f>
        <v/>
      </c>
      <c r="AC17" s="15" t="str">
        <f>IF(TAREAS!$I$64="Propuesta",IF(AND(AC$7&gt;=TAREAS!$G$64,AC$7&lt;=TAREAS!$H$64,CALENDARIO!$C$124=1),"P",""),IF(ISNUMBER(SEARCH(TEXT(AC$7,"yyyy-mm-dd"),TAREAS!$J$64)),IF(TAREAS!$I$64="Registro Git","R",IF(TAREAS!$I$64="Despliegue documentado","D","L")),""))</f>
        <v/>
      </c>
      <c r="AD17" s="15" t="str">
        <f>IF(TAREAS!$I$64="Propuesta",IF(AND(AD$7&gt;=TAREAS!$G$64,AD$7&lt;=TAREAS!$H$64,CALENDARIO!$C$125=1),"P",""),IF(ISNUMBER(SEARCH(TEXT(AD$7,"yyyy-mm-dd"),TAREAS!$J$64)),IF(TAREAS!$I$64="Registro Git","R",IF(TAREAS!$I$64="Despliegue documentado","D","L")),""))</f>
        <v/>
      </c>
      <c r="AE17" s="15" t="str">
        <f>IF(TAREAS!$I$64="Propuesta",IF(AND(AE$7&gt;=TAREAS!$G$64,AE$7&lt;=TAREAS!$H$64,CALENDARIO!$C$126=1),"P",""),IF(ISNUMBER(SEARCH(TEXT(AE$7,"yyyy-mm-dd"),TAREAS!$J$64)),IF(TAREAS!$I$64="Registro Git","R",IF(TAREAS!$I$64="Despliegue documentado","D","L")),""))</f>
        <v/>
      </c>
      <c r="AF17" s="14" t="str">
        <f>IF(TAREAS!$I$64="Propuesta",IF(AND(AF$7&gt;=TAREAS!$G$64,AF$7&lt;=TAREAS!$H$64,CALENDARIO!$C$127=1),"P",""),IF(ISNUMBER(SEARCH(TEXT(AF$7,"yyyy-mm-dd"),TAREAS!$J$64)),IF(TAREAS!$I$64="Registro Git","R",IF(TAREAS!$I$64="Despliegue documentado","D","L")),""))</f>
        <v/>
      </c>
      <c r="AG17" s="14" t="str">
        <f>IF(TAREAS!$I$64="Propuesta",IF(AND(AG$7&gt;=TAREAS!$G$64,AG$7&lt;=TAREAS!$H$64,CALENDARIO!$C$128=1),"P",""),IF(ISNUMBER(SEARCH(TEXT(AG$7,"yyyy-mm-dd"),TAREAS!$J$64)),IF(TAREAS!$I$64="Registro Git","R",IF(TAREAS!$I$64="Despliegue documentado","D","L")),""))</f>
        <v/>
      </c>
      <c r="AH17" s="14" t="str">
        <f>IF(TAREAS!$I$64="Propuesta",IF(AND(AH$7&gt;=TAREAS!$G$64,AH$7&lt;=TAREAS!$H$64,CALENDARIO!$C$129=1),"P",""),IF(ISNUMBER(SEARCH(TEXT(AH$7,"yyyy-mm-dd"),TAREAS!$J$64)),IF(TAREAS!$I$64="Registro Git","R",IF(TAREAS!$I$64="Despliegue documentado","D","L")),""))</f>
        <v/>
      </c>
      <c r="AI17" s="14" t="str">
        <f>IF(TAREAS!$I$64="Propuesta",IF(AND(AI$7&gt;=TAREAS!$G$64,AI$7&lt;=TAREAS!$H$64,CALENDARIO!$C$130=1),"P",""),IF(ISNUMBER(SEARCH(TEXT(AI$7,"yyyy-mm-dd"),TAREAS!$J$64)),IF(TAREAS!$I$64="Registro Git","R",IF(TAREAS!$I$64="Despliegue documentado","D","L")),""))</f>
        <v>P</v>
      </c>
    </row>
  </sheetData>
  <mergeCells count="8">
    <mergeCell ref="A5:AI5"/>
    <mergeCell ref="A1:AI2"/>
    <mergeCell ref="C7:C8"/>
    <mergeCell ref="A7:A8"/>
    <mergeCell ref="A3:AI3"/>
    <mergeCell ref="B7:B8"/>
    <mergeCell ref="D7:D8"/>
    <mergeCell ref="A4:AI4"/>
  </mergeCells>
  <conditionalFormatting sqref="E9:AI9">
    <cfRule type="expression" dxfId="5" priority="1">
      <formula>E9&lt;&gt;""</formula>
    </cfRule>
  </conditionalFormatting>
  <conditionalFormatting sqref="E10:AI13">
    <cfRule type="expression" dxfId="4" priority="2">
      <formula>E10&lt;&gt;""</formula>
    </cfRule>
  </conditionalFormatting>
  <conditionalFormatting sqref="E14:AI14">
    <cfRule type="expression" dxfId="3" priority="6">
      <formula>E14&lt;&gt;""</formula>
    </cfRule>
  </conditionalFormatting>
  <conditionalFormatting sqref="E15:AI15">
    <cfRule type="expression" dxfId="2" priority="7">
      <formula>E15&lt;&gt;""</formula>
    </cfRule>
  </conditionalFormatting>
  <conditionalFormatting sqref="E16:AI16">
    <cfRule type="expression" dxfId="1" priority="8">
      <formula>E16&lt;&gt;""</formula>
    </cfRule>
  </conditionalFormatting>
  <conditionalFormatting sqref="E17:AI17">
    <cfRule type="expression" dxfId="0" priority="9">
      <formula>E17&lt;&gt;""</formula>
    </cfRule>
  </conditionalFormatting>
  <printOptions horizontalCentered="1"/>
  <pageMargins left="0.22" right="0.22" top="0.35" bottom="0.35" header="0.5" footer="0.5"/>
  <pageSetup paperSize="8" fitToHeight="0" orientation="landscape"/>
  <headerFooter>
    <oddFooter>&amp;C&amp;8 KJA · Planificación al 22/09/2026 · &amp;P / 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4"/>
  <sheetViews>
    <sheetView showGridLines="0" zoomScale="80" workbookViewId="0">
      <pane xSplit="6" ySplit="4" topLeftCell="G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15" customWidth="1"/>
    <col min="3" max="3" width="49" customWidth="1"/>
    <col min="4" max="4" width="56" customWidth="1"/>
    <col min="5" max="5" width="25" customWidth="1"/>
    <col min="6" max="6" width="30" customWidth="1"/>
    <col min="7" max="8" width="15" customWidth="1"/>
    <col min="9" max="9" width="25" customWidth="1"/>
    <col min="10" max="10" width="33" customWidth="1"/>
    <col min="11" max="11" width="29" customWidth="1"/>
    <col min="12" max="12" width="16" customWidth="1"/>
    <col min="13" max="13" width="66" customWidth="1"/>
    <col min="14" max="14" width="85" customWidth="1"/>
  </cols>
  <sheetData>
    <row r="1" spans="1:14" x14ac:dyDescent="0.25">
      <c r="A1" s="26" t="s">
        <v>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4.95" customHeight="1" x14ac:dyDescent="0.25">
      <c r="A3" s="27" t="s">
        <v>72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30" customHeight="1" x14ac:dyDescent="0.25">
      <c r="A4" s="5" t="s">
        <v>73</v>
      </c>
      <c r="B4" s="5" t="s">
        <v>25</v>
      </c>
      <c r="C4" s="5" t="s">
        <v>74</v>
      </c>
      <c r="D4" s="5" t="s">
        <v>75</v>
      </c>
      <c r="E4" s="5" t="s">
        <v>76</v>
      </c>
      <c r="F4" s="5" t="s">
        <v>54</v>
      </c>
      <c r="G4" s="5" t="s">
        <v>31</v>
      </c>
      <c r="H4" s="5" t="s">
        <v>32</v>
      </c>
      <c r="I4" s="5" t="s">
        <v>77</v>
      </c>
      <c r="J4" s="5" t="s">
        <v>78</v>
      </c>
      <c r="K4" s="5" t="s">
        <v>79</v>
      </c>
      <c r="L4" s="5" t="s">
        <v>80</v>
      </c>
      <c r="M4" s="5" t="s">
        <v>81</v>
      </c>
      <c r="N4" s="5" t="s">
        <v>82</v>
      </c>
    </row>
    <row r="5" spans="1:14" ht="78" customHeight="1" x14ac:dyDescent="0.25">
      <c r="A5" s="4" t="s">
        <v>83</v>
      </c>
      <c r="B5" s="4" t="s">
        <v>33</v>
      </c>
      <c r="C5" s="4" t="s">
        <v>84</v>
      </c>
      <c r="D5" s="4" t="s">
        <v>85</v>
      </c>
      <c r="E5" s="4" t="s">
        <v>86</v>
      </c>
      <c r="F5" s="4" t="s">
        <v>87</v>
      </c>
      <c r="G5" s="6">
        <v>46262</v>
      </c>
      <c r="H5" s="6">
        <v>46262</v>
      </c>
      <c r="I5" s="4" t="s">
        <v>88</v>
      </c>
      <c r="J5" s="4" t="s">
        <v>89</v>
      </c>
      <c r="K5" s="4" t="s">
        <v>90</v>
      </c>
      <c r="L5" s="4"/>
      <c r="M5" s="4" t="s">
        <v>91</v>
      </c>
      <c r="N5" s="4" t="s">
        <v>92</v>
      </c>
    </row>
    <row r="6" spans="1:14" ht="78" customHeight="1" x14ac:dyDescent="0.25">
      <c r="A6" s="21" t="s">
        <v>93</v>
      </c>
      <c r="B6" s="21" t="s">
        <v>33</v>
      </c>
      <c r="C6" s="21" t="s">
        <v>84</v>
      </c>
      <c r="D6" s="21" t="s">
        <v>94</v>
      </c>
      <c r="E6" s="21" t="s">
        <v>86</v>
      </c>
      <c r="F6" s="21" t="s">
        <v>95</v>
      </c>
      <c r="G6" s="22">
        <v>46262</v>
      </c>
      <c r="H6" s="22">
        <v>46262</v>
      </c>
      <c r="I6" s="21" t="s">
        <v>96</v>
      </c>
      <c r="J6" s="21" t="s">
        <v>89</v>
      </c>
      <c r="K6" s="21" t="s">
        <v>97</v>
      </c>
      <c r="L6" s="21"/>
      <c r="M6" s="21" t="s">
        <v>98</v>
      </c>
      <c r="N6" s="21" t="s">
        <v>99</v>
      </c>
    </row>
    <row r="7" spans="1:14" ht="78" customHeight="1" x14ac:dyDescent="0.25">
      <c r="A7" s="4" t="s">
        <v>100</v>
      </c>
      <c r="B7" s="4" t="s">
        <v>33</v>
      </c>
      <c r="C7" s="4" t="s">
        <v>101</v>
      </c>
      <c r="D7" s="4" t="s">
        <v>102</v>
      </c>
      <c r="E7" s="4" t="s">
        <v>86</v>
      </c>
      <c r="F7" s="4" t="s">
        <v>87</v>
      </c>
      <c r="G7" s="6">
        <v>46262</v>
      </c>
      <c r="H7" s="6">
        <v>46262</v>
      </c>
      <c r="I7" s="4" t="s">
        <v>88</v>
      </c>
      <c r="J7" s="4" t="s">
        <v>89</v>
      </c>
      <c r="K7" s="4" t="s">
        <v>103</v>
      </c>
      <c r="L7" s="4"/>
      <c r="M7" s="4" t="s">
        <v>104</v>
      </c>
      <c r="N7" s="4" t="s">
        <v>105</v>
      </c>
    </row>
    <row r="8" spans="1:14" ht="78" customHeight="1" x14ac:dyDescent="0.25">
      <c r="A8" s="21" t="s">
        <v>106</v>
      </c>
      <c r="B8" s="21" t="s">
        <v>36</v>
      </c>
      <c r="C8" s="21" t="s">
        <v>107</v>
      </c>
      <c r="D8" s="21" t="s">
        <v>108</v>
      </c>
      <c r="E8" s="21" t="s">
        <v>86</v>
      </c>
      <c r="F8" s="21" t="s">
        <v>87</v>
      </c>
      <c r="G8" s="22">
        <v>46266</v>
      </c>
      <c r="H8" s="22">
        <v>46266</v>
      </c>
      <c r="I8" s="21" t="s">
        <v>88</v>
      </c>
      <c r="J8" s="21" t="s">
        <v>109</v>
      </c>
      <c r="K8" s="21" t="s">
        <v>110</v>
      </c>
      <c r="L8" s="21"/>
      <c r="M8" s="21" t="s">
        <v>111</v>
      </c>
      <c r="N8" s="21" t="s">
        <v>112</v>
      </c>
    </row>
    <row r="9" spans="1:14" ht="78" customHeight="1" x14ac:dyDescent="0.25">
      <c r="A9" s="4" t="s">
        <v>113</v>
      </c>
      <c r="B9" s="4" t="s">
        <v>36</v>
      </c>
      <c r="C9" s="4" t="s">
        <v>84</v>
      </c>
      <c r="D9" s="4" t="s">
        <v>114</v>
      </c>
      <c r="E9" s="4" t="s">
        <v>86</v>
      </c>
      <c r="F9" s="4" t="s">
        <v>115</v>
      </c>
      <c r="G9" s="6">
        <v>46266</v>
      </c>
      <c r="H9" s="6">
        <v>46267</v>
      </c>
      <c r="I9" s="4" t="s">
        <v>88</v>
      </c>
      <c r="J9" s="4" t="s">
        <v>116</v>
      </c>
      <c r="K9" s="4" t="s">
        <v>117</v>
      </c>
      <c r="L9" s="4"/>
      <c r="M9" s="4" t="s">
        <v>118</v>
      </c>
      <c r="N9" s="4" t="s">
        <v>119</v>
      </c>
    </row>
    <row r="10" spans="1:14" ht="78" customHeight="1" x14ac:dyDescent="0.25">
      <c r="A10" s="21" t="s">
        <v>120</v>
      </c>
      <c r="B10" s="21" t="s">
        <v>36</v>
      </c>
      <c r="C10" s="21" t="s">
        <v>101</v>
      </c>
      <c r="D10" s="21" t="s">
        <v>121</v>
      </c>
      <c r="E10" s="21" t="s">
        <v>86</v>
      </c>
      <c r="F10" s="21" t="s">
        <v>87</v>
      </c>
      <c r="G10" s="22">
        <v>46268</v>
      </c>
      <c r="H10" s="22">
        <v>46268</v>
      </c>
      <c r="I10" s="21" t="s">
        <v>88</v>
      </c>
      <c r="J10" s="21" t="s">
        <v>122</v>
      </c>
      <c r="K10" s="21" t="s">
        <v>123</v>
      </c>
      <c r="L10" s="21"/>
      <c r="M10" s="21" t="s">
        <v>124</v>
      </c>
      <c r="N10" s="21" t="s">
        <v>125</v>
      </c>
    </row>
    <row r="11" spans="1:14" ht="78" customHeight="1" x14ac:dyDescent="0.25">
      <c r="A11" s="4" t="s">
        <v>126</v>
      </c>
      <c r="B11" s="4" t="s">
        <v>36</v>
      </c>
      <c r="C11" s="4" t="s">
        <v>127</v>
      </c>
      <c r="D11" s="4" t="s">
        <v>128</v>
      </c>
      <c r="E11" s="4" t="s">
        <v>86</v>
      </c>
      <c r="F11" s="4" t="s">
        <v>87</v>
      </c>
      <c r="G11" s="6">
        <v>46272</v>
      </c>
      <c r="H11" s="6">
        <v>46272</v>
      </c>
      <c r="I11" s="4" t="s">
        <v>88</v>
      </c>
      <c r="J11" s="4" t="s">
        <v>129</v>
      </c>
      <c r="K11" s="4" t="s">
        <v>130</v>
      </c>
      <c r="L11" s="4"/>
      <c r="M11" s="4" t="s">
        <v>131</v>
      </c>
      <c r="N11" s="4" t="s">
        <v>132</v>
      </c>
    </row>
    <row r="12" spans="1:14" ht="78" customHeight="1" x14ac:dyDescent="0.25">
      <c r="A12" s="21" t="s">
        <v>133</v>
      </c>
      <c r="B12" s="21" t="s">
        <v>36</v>
      </c>
      <c r="C12" s="21" t="s">
        <v>127</v>
      </c>
      <c r="D12" s="21" t="s">
        <v>134</v>
      </c>
      <c r="E12" s="21" t="s">
        <v>86</v>
      </c>
      <c r="F12" s="21" t="s">
        <v>87</v>
      </c>
      <c r="G12" s="22">
        <v>46272</v>
      </c>
      <c r="H12" s="22">
        <v>46272</v>
      </c>
      <c r="I12" s="21" t="s">
        <v>88</v>
      </c>
      <c r="J12" s="21" t="s">
        <v>129</v>
      </c>
      <c r="K12" s="21" t="s">
        <v>135</v>
      </c>
      <c r="L12" s="21"/>
      <c r="M12" s="21" t="s">
        <v>136</v>
      </c>
      <c r="N12" s="21" t="s">
        <v>137</v>
      </c>
    </row>
    <row r="13" spans="1:14" ht="78" customHeight="1" x14ac:dyDescent="0.25">
      <c r="A13" s="4" t="s">
        <v>138</v>
      </c>
      <c r="B13" s="4" t="s">
        <v>36</v>
      </c>
      <c r="C13" s="4" t="s">
        <v>139</v>
      </c>
      <c r="D13" s="4" t="s">
        <v>140</v>
      </c>
      <c r="E13" s="4" t="s">
        <v>86</v>
      </c>
      <c r="F13" s="4" t="s">
        <v>87</v>
      </c>
      <c r="G13" s="6">
        <v>46272</v>
      </c>
      <c r="H13" s="6">
        <v>46274</v>
      </c>
      <c r="I13" s="4" t="s">
        <v>88</v>
      </c>
      <c r="J13" s="4" t="s">
        <v>141</v>
      </c>
      <c r="K13" s="4" t="s">
        <v>142</v>
      </c>
      <c r="L13" s="4"/>
      <c r="M13" s="4" t="s">
        <v>143</v>
      </c>
      <c r="N13" s="4" t="s">
        <v>144</v>
      </c>
    </row>
    <row r="14" spans="1:14" ht="78" customHeight="1" x14ac:dyDescent="0.25">
      <c r="A14" s="21" t="s">
        <v>145</v>
      </c>
      <c r="B14" s="21" t="s">
        <v>36</v>
      </c>
      <c r="C14" s="21" t="s">
        <v>127</v>
      </c>
      <c r="D14" s="21" t="s">
        <v>146</v>
      </c>
      <c r="E14" s="21" t="s">
        <v>86</v>
      </c>
      <c r="F14" s="21" t="s">
        <v>87</v>
      </c>
      <c r="G14" s="22">
        <v>46275</v>
      </c>
      <c r="H14" s="22">
        <v>46275</v>
      </c>
      <c r="I14" s="21" t="s">
        <v>88</v>
      </c>
      <c r="J14" s="21" t="s">
        <v>147</v>
      </c>
      <c r="K14" s="21" t="s">
        <v>148</v>
      </c>
      <c r="L14" s="21"/>
      <c r="M14" s="21" t="s">
        <v>149</v>
      </c>
      <c r="N14" s="21" t="s">
        <v>150</v>
      </c>
    </row>
    <row r="15" spans="1:14" ht="78" customHeight="1" x14ac:dyDescent="0.25">
      <c r="A15" s="4" t="s">
        <v>151</v>
      </c>
      <c r="B15" s="4" t="s">
        <v>36</v>
      </c>
      <c r="C15" s="4" t="s">
        <v>139</v>
      </c>
      <c r="D15" s="4" t="s">
        <v>152</v>
      </c>
      <c r="E15" s="4" t="s">
        <v>86</v>
      </c>
      <c r="F15" s="4" t="s">
        <v>87</v>
      </c>
      <c r="G15" s="6">
        <v>46276</v>
      </c>
      <c r="H15" s="6">
        <v>46276</v>
      </c>
      <c r="I15" s="4" t="s">
        <v>88</v>
      </c>
      <c r="J15" s="4" t="s">
        <v>153</v>
      </c>
      <c r="K15" s="4" t="s">
        <v>154</v>
      </c>
      <c r="L15" s="4"/>
      <c r="M15" s="4" t="s">
        <v>155</v>
      </c>
      <c r="N15" s="4" t="s">
        <v>156</v>
      </c>
    </row>
    <row r="16" spans="1:14" ht="78" customHeight="1" x14ac:dyDescent="0.25">
      <c r="A16" s="21" t="s">
        <v>157</v>
      </c>
      <c r="B16" s="21" t="s">
        <v>36</v>
      </c>
      <c r="C16" s="21" t="s">
        <v>158</v>
      </c>
      <c r="D16" s="21" t="s">
        <v>159</v>
      </c>
      <c r="E16" s="21" t="s">
        <v>160</v>
      </c>
      <c r="F16" s="21" t="s">
        <v>95</v>
      </c>
      <c r="G16" s="22">
        <v>46277</v>
      </c>
      <c r="H16" s="22">
        <v>46277</v>
      </c>
      <c r="I16" s="21" t="s">
        <v>96</v>
      </c>
      <c r="J16" s="21" t="s">
        <v>161</v>
      </c>
      <c r="K16" s="21" t="s">
        <v>162</v>
      </c>
      <c r="L16" s="21"/>
      <c r="M16" s="21" t="s">
        <v>163</v>
      </c>
      <c r="N16" s="21" t="s">
        <v>164</v>
      </c>
    </row>
    <row r="17" spans="1:14" ht="78" customHeight="1" x14ac:dyDescent="0.25">
      <c r="A17" s="4" t="s">
        <v>165</v>
      </c>
      <c r="B17" s="4" t="s">
        <v>36</v>
      </c>
      <c r="C17" s="4" t="s">
        <v>166</v>
      </c>
      <c r="D17" s="4" t="s">
        <v>167</v>
      </c>
      <c r="E17" s="4" t="s">
        <v>86</v>
      </c>
      <c r="F17" s="4" t="s">
        <v>87</v>
      </c>
      <c r="G17" s="6">
        <v>46278</v>
      </c>
      <c r="H17" s="6">
        <v>46278</v>
      </c>
      <c r="I17" s="4" t="s">
        <v>88</v>
      </c>
      <c r="J17" s="4" t="s">
        <v>168</v>
      </c>
      <c r="K17" s="4" t="s">
        <v>169</v>
      </c>
      <c r="L17" s="4"/>
      <c r="M17" s="4" t="s">
        <v>170</v>
      </c>
      <c r="N17" s="4" t="s">
        <v>171</v>
      </c>
    </row>
    <row r="18" spans="1:14" ht="78" customHeight="1" x14ac:dyDescent="0.25">
      <c r="A18" s="21" t="s">
        <v>172</v>
      </c>
      <c r="B18" s="21" t="s">
        <v>36</v>
      </c>
      <c r="C18" s="21" t="s">
        <v>158</v>
      </c>
      <c r="D18" s="21" t="s">
        <v>173</v>
      </c>
      <c r="E18" s="21" t="s">
        <v>86</v>
      </c>
      <c r="F18" s="21" t="s">
        <v>87</v>
      </c>
      <c r="G18" s="22">
        <v>46278</v>
      </c>
      <c r="H18" s="22">
        <v>46278</v>
      </c>
      <c r="I18" s="21" t="s">
        <v>88</v>
      </c>
      <c r="J18" s="21" t="s">
        <v>168</v>
      </c>
      <c r="K18" s="21" t="s">
        <v>162</v>
      </c>
      <c r="L18" s="21"/>
      <c r="M18" s="21" t="s">
        <v>174</v>
      </c>
      <c r="N18" s="21" t="s">
        <v>175</v>
      </c>
    </row>
    <row r="19" spans="1:14" ht="78" customHeight="1" x14ac:dyDescent="0.25">
      <c r="A19" s="4" t="s">
        <v>176</v>
      </c>
      <c r="B19" s="4" t="s">
        <v>36</v>
      </c>
      <c r="C19" s="4" t="s">
        <v>177</v>
      </c>
      <c r="D19" s="4" t="s">
        <v>178</v>
      </c>
      <c r="E19" s="4" t="s">
        <v>86</v>
      </c>
      <c r="F19" s="4" t="s">
        <v>87</v>
      </c>
      <c r="G19" s="6">
        <v>46279</v>
      </c>
      <c r="H19" s="6">
        <v>46279</v>
      </c>
      <c r="I19" s="4" t="s">
        <v>88</v>
      </c>
      <c r="J19" s="4" t="s">
        <v>179</v>
      </c>
      <c r="K19" s="4" t="s">
        <v>180</v>
      </c>
      <c r="L19" s="4"/>
      <c r="M19" s="4" t="s">
        <v>181</v>
      </c>
      <c r="N19" s="4" t="s">
        <v>182</v>
      </c>
    </row>
    <row r="20" spans="1:14" ht="78" customHeight="1" x14ac:dyDescent="0.25">
      <c r="A20" s="21" t="s">
        <v>183</v>
      </c>
      <c r="B20" s="21" t="s">
        <v>36</v>
      </c>
      <c r="C20" s="21" t="s">
        <v>107</v>
      </c>
      <c r="D20" s="21" t="s">
        <v>184</v>
      </c>
      <c r="E20" s="21" t="s">
        <v>86</v>
      </c>
      <c r="F20" s="21" t="s">
        <v>87</v>
      </c>
      <c r="G20" s="22">
        <v>46279</v>
      </c>
      <c r="H20" s="22">
        <v>46279</v>
      </c>
      <c r="I20" s="21" t="s">
        <v>88</v>
      </c>
      <c r="J20" s="21" t="s">
        <v>179</v>
      </c>
      <c r="K20" s="21" t="s">
        <v>185</v>
      </c>
      <c r="L20" s="21"/>
      <c r="M20" s="21" t="s">
        <v>186</v>
      </c>
      <c r="N20" s="21" t="s">
        <v>187</v>
      </c>
    </row>
    <row r="21" spans="1:14" ht="78" customHeight="1" x14ac:dyDescent="0.25">
      <c r="A21" s="4" t="s">
        <v>188</v>
      </c>
      <c r="B21" s="4" t="s">
        <v>36</v>
      </c>
      <c r="C21" s="4" t="s">
        <v>139</v>
      </c>
      <c r="D21" s="4" t="s">
        <v>189</v>
      </c>
      <c r="E21" s="4" t="s">
        <v>86</v>
      </c>
      <c r="F21" s="4" t="s">
        <v>87</v>
      </c>
      <c r="G21" s="6">
        <v>46279</v>
      </c>
      <c r="H21" s="6">
        <v>46279</v>
      </c>
      <c r="I21" s="4" t="s">
        <v>88</v>
      </c>
      <c r="J21" s="4" t="s">
        <v>179</v>
      </c>
      <c r="K21" s="4" t="s">
        <v>190</v>
      </c>
      <c r="L21" s="4"/>
      <c r="M21" s="4" t="s">
        <v>191</v>
      </c>
      <c r="N21" s="4" t="s">
        <v>192</v>
      </c>
    </row>
    <row r="22" spans="1:14" ht="78" customHeight="1" x14ac:dyDescent="0.25">
      <c r="A22" s="21" t="s">
        <v>193</v>
      </c>
      <c r="B22" s="21" t="s">
        <v>36</v>
      </c>
      <c r="C22" s="21" t="s">
        <v>166</v>
      </c>
      <c r="D22" s="21" t="s">
        <v>194</v>
      </c>
      <c r="E22" s="21" t="s">
        <v>86</v>
      </c>
      <c r="F22" s="21" t="s">
        <v>195</v>
      </c>
      <c r="G22" s="22">
        <v>46279</v>
      </c>
      <c r="H22" s="22">
        <v>46280</v>
      </c>
      <c r="I22" s="21" t="s">
        <v>88</v>
      </c>
      <c r="J22" s="21" t="s">
        <v>196</v>
      </c>
      <c r="K22" s="21" t="s">
        <v>169</v>
      </c>
      <c r="L22" s="21"/>
      <c r="M22" s="21" t="s">
        <v>197</v>
      </c>
      <c r="N22" s="21" t="s">
        <v>198</v>
      </c>
    </row>
    <row r="23" spans="1:14" ht="78" customHeight="1" x14ac:dyDescent="0.25">
      <c r="A23" s="4" t="s">
        <v>199</v>
      </c>
      <c r="B23" s="4" t="s">
        <v>36</v>
      </c>
      <c r="C23" s="4" t="s">
        <v>127</v>
      </c>
      <c r="D23" s="4" t="s">
        <v>200</v>
      </c>
      <c r="E23" s="4" t="s">
        <v>86</v>
      </c>
      <c r="F23" s="4" t="s">
        <v>87</v>
      </c>
      <c r="G23" s="6">
        <v>46280</v>
      </c>
      <c r="H23" s="6">
        <v>46280</v>
      </c>
      <c r="I23" s="4" t="s">
        <v>88</v>
      </c>
      <c r="J23" s="4" t="s">
        <v>201</v>
      </c>
      <c r="K23" s="4" t="s">
        <v>202</v>
      </c>
      <c r="L23" s="4"/>
      <c r="M23" s="4" t="s">
        <v>203</v>
      </c>
      <c r="N23" s="4" t="s">
        <v>204</v>
      </c>
    </row>
    <row r="24" spans="1:14" ht="78" customHeight="1" x14ac:dyDescent="0.25">
      <c r="A24" s="21" t="s">
        <v>205</v>
      </c>
      <c r="B24" s="21" t="s">
        <v>36</v>
      </c>
      <c r="C24" s="21" t="s">
        <v>127</v>
      </c>
      <c r="D24" s="21" t="s">
        <v>206</v>
      </c>
      <c r="E24" s="21" t="s">
        <v>86</v>
      </c>
      <c r="F24" s="21" t="s">
        <v>87</v>
      </c>
      <c r="G24" s="22">
        <v>46281</v>
      </c>
      <c r="H24" s="22">
        <v>46281</v>
      </c>
      <c r="I24" s="21" t="s">
        <v>88</v>
      </c>
      <c r="J24" s="21" t="s">
        <v>207</v>
      </c>
      <c r="K24" s="21" t="s">
        <v>208</v>
      </c>
      <c r="L24" s="21"/>
      <c r="M24" s="21" t="s">
        <v>209</v>
      </c>
      <c r="N24" s="21" t="s">
        <v>210</v>
      </c>
    </row>
    <row r="25" spans="1:14" ht="78" customHeight="1" x14ac:dyDescent="0.25">
      <c r="A25" s="4" t="s">
        <v>211</v>
      </c>
      <c r="B25" s="4" t="s">
        <v>36</v>
      </c>
      <c r="C25" s="4" t="s">
        <v>212</v>
      </c>
      <c r="D25" s="4" t="s">
        <v>213</v>
      </c>
      <c r="E25" s="4" t="s">
        <v>86</v>
      </c>
      <c r="F25" s="4" t="s">
        <v>87</v>
      </c>
      <c r="G25" s="6">
        <v>46281</v>
      </c>
      <c r="H25" s="6">
        <v>46281</v>
      </c>
      <c r="I25" s="4" t="s">
        <v>88</v>
      </c>
      <c r="J25" s="4" t="s">
        <v>207</v>
      </c>
      <c r="K25" s="4" t="s">
        <v>214</v>
      </c>
      <c r="L25" s="4"/>
      <c r="M25" s="4" t="s">
        <v>215</v>
      </c>
      <c r="N25" s="4" t="s">
        <v>216</v>
      </c>
    </row>
    <row r="26" spans="1:14" ht="78" customHeight="1" x14ac:dyDescent="0.25">
      <c r="A26" s="21" t="s">
        <v>217</v>
      </c>
      <c r="B26" s="21" t="s">
        <v>36</v>
      </c>
      <c r="C26" s="21" t="s">
        <v>177</v>
      </c>
      <c r="D26" s="21" t="s">
        <v>218</v>
      </c>
      <c r="E26" s="21" t="s">
        <v>86</v>
      </c>
      <c r="F26" s="21" t="s">
        <v>87</v>
      </c>
      <c r="G26" s="22">
        <v>46282</v>
      </c>
      <c r="H26" s="22">
        <v>46282</v>
      </c>
      <c r="I26" s="21" t="s">
        <v>88</v>
      </c>
      <c r="J26" s="21" t="s">
        <v>219</v>
      </c>
      <c r="K26" s="21" t="s">
        <v>220</v>
      </c>
      <c r="L26" s="21"/>
      <c r="M26" s="21" t="s">
        <v>221</v>
      </c>
      <c r="N26" s="21" t="s">
        <v>222</v>
      </c>
    </row>
    <row r="27" spans="1:14" ht="78" customHeight="1" x14ac:dyDescent="0.25">
      <c r="A27" s="4" t="s">
        <v>223</v>
      </c>
      <c r="B27" s="4" t="s">
        <v>36</v>
      </c>
      <c r="C27" s="4" t="s">
        <v>177</v>
      </c>
      <c r="D27" s="4" t="s">
        <v>224</v>
      </c>
      <c r="E27" s="4" t="s">
        <v>86</v>
      </c>
      <c r="F27" s="4" t="s">
        <v>87</v>
      </c>
      <c r="G27" s="6">
        <v>46283</v>
      </c>
      <c r="H27" s="6">
        <v>46283</v>
      </c>
      <c r="I27" s="4" t="s">
        <v>88</v>
      </c>
      <c r="J27" s="4" t="s">
        <v>225</v>
      </c>
      <c r="K27" s="4" t="s">
        <v>180</v>
      </c>
      <c r="L27" s="4"/>
      <c r="M27" s="4" t="s">
        <v>226</v>
      </c>
      <c r="N27" s="4" t="s">
        <v>227</v>
      </c>
    </row>
    <row r="28" spans="1:14" ht="78" customHeight="1" x14ac:dyDescent="0.25">
      <c r="A28" s="21" t="s">
        <v>228</v>
      </c>
      <c r="B28" s="21" t="s">
        <v>36</v>
      </c>
      <c r="C28" s="21" t="s">
        <v>127</v>
      </c>
      <c r="D28" s="21" t="s">
        <v>229</v>
      </c>
      <c r="E28" s="21" t="s">
        <v>86</v>
      </c>
      <c r="F28" s="21" t="s">
        <v>87</v>
      </c>
      <c r="G28" s="22">
        <v>46284</v>
      </c>
      <c r="H28" s="22">
        <v>46284</v>
      </c>
      <c r="I28" s="21" t="s">
        <v>88</v>
      </c>
      <c r="J28" s="21" t="s">
        <v>230</v>
      </c>
      <c r="K28" s="21" t="s">
        <v>231</v>
      </c>
      <c r="L28" s="21"/>
      <c r="M28" s="21" t="s">
        <v>232</v>
      </c>
      <c r="N28" s="21" t="s">
        <v>233</v>
      </c>
    </row>
    <row r="29" spans="1:14" ht="78" customHeight="1" x14ac:dyDescent="0.25">
      <c r="A29" s="4" t="s">
        <v>234</v>
      </c>
      <c r="B29" s="4" t="s">
        <v>36</v>
      </c>
      <c r="C29" s="4" t="s">
        <v>84</v>
      </c>
      <c r="D29" s="4" t="s">
        <v>235</v>
      </c>
      <c r="E29" s="4" t="s">
        <v>86</v>
      </c>
      <c r="F29" s="4" t="s">
        <v>87</v>
      </c>
      <c r="G29" s="6">
        <v>46284</v>
      </c>
      <c r="H29" s="6">
        <v>46285</v>
      </c>
      <c r="I29" s="4" t="s">
        <v>88</v>
      </c>
      <c r="J29" s="4" t="s">
        <v>236</v>
      </c>
      <c r="K29" s="4" t="s">
        <v>237</v>
      </c>
      <c r="L29" s="4"/>
      <c r="M29" s="4" t="s">
        <v>238</v>
      </c>
      <c r="N29" s="4" t="s">
        <v>239</v>
      </c>
    </row>
    <row r="30" spans="1:14" ht="78" customHeight="1" x14ac:dyDescent="0.25">
      <c r="A30" s="21" t="s">
        <v>240</v>
      </c>
      <c r="B30" s="21" t="s">
        <v>36</v>
      </c>
      <c r="C30" s="21" t="s">
        <v>166</v>
      </c>
      <c r="D30" s="21" t="s">
        <v>241</v>
      </c>
      <c r="E30" s="21" t="s">
        <v>86</v>
      </c>
      <c r="F30" s="21" t="s">
        <v>195</v>
      </c>
      <c r="G30" s="22">
        <v>46286</v>
      </c>
      <c r="H30" s="22">
        <v>46286</v>
      </c>
      <c r="I30" s="21" t="s">
        <v>88</v>
      </c>
      <c r="J30" s="21" t="s">
        <v>242</v>
      </c>
      <c r="K30" s="21" t="s">
        <v>243</v>
      </c>
      <c r="L30" s="21"/>
      <c r="M30" s="21" t="s">
        <v>244</v>
      </c>
      <c r="N30" s="21" t="s">
        <v>245</v>
      </c>
    </row>
    <row r="31" spans="1:14" ht="78" customHeight="1" x14ac:dyDescent="0.25">
      <c r="A31" s="4" t="s">
        <v>246</v>
      </c>
      <c r="B31" s="4" t="s">
        <v>36</v>
      </c>
      <c r="C31" s="4" t="s">
        <v>127</v>
      </c>
      <c r="D31" s="4" t="s">
        <v>247</v>
      </c>
      <c r="E31" s="4" t="s">
        <v>86</v>
      </c>
      <c r="F31" s="4" t="s">
        <v>195</v>
      </c>
      <c r="G31" s="6">
        <v>46286</v>
      </c>
      <c r="H31" s="6">
        <v>46286</v>
      </c>
      <c r="I31" s="4" t="s">
        <v>88</v>
      </c>
      <c r="J31" s="4" t="s">
        <v>242</v>
      </c>
      <c r="K31" s="4" t="s">
        <v>248</v>
      </c>
      <c r="L31" s="4"/>
      <c r="M31" s="4" t="s">
        <v>249</v>
      </c>
      <c r="N31" s="4" t="s">
        <v>250</v>
      </c>
    </row>
    <row r="32" spans="1:14" ht="78" customHeight="1" x14ac:dyDescent="0.25">
      <c r="A32" s="21" t="s">
        <v>251</v>
      </c>
      <c r="B32" s="21" t="s">
        <v>36</v>
      </c>
      <c r="C32" s="21" t="s">
        <v>212</v>
      </c>
      <c r="D32" s="21" t="s">
        <v>252</v>
      </c>
      <c r="E32" s="21" t="s">
        <v>86</v>
      </c>
      <c r="F32" s="21" t="s">
        <v>95</v>
      </c>
      <c r="G32" s="22">
        <v>46287</v>
      </c>
      <c r="H32" s="22">
        <v>46287</v>
      </c>
      <c r="I32" s="21" t="s">
        <v>253</v>
      </c>
      <c r="J32" s="21" t="s">
        <v>254</v>
      </c>
      <c r="K32" s="21" t="s">
        <v>214</v>
      </c>
      <c r="L32" s="21"/>
      <c r="M32" s="21" t="s">
        <v>255</v>
      </c>
      <c r="N32" s="21" t="s">
        <v>256</v>
      </c>
    </row>
    <row r="33" spans="1:14" ht="78" customHeight="1" x14ac:dyDescent="0.25">
      <c r="A33" s="4" t="s">
        <v>257</v>
      </c>
      <c r="B33" s="4" t="s">
        <v>36</v>
      </c>
      <c r="C33" s="4" t="s">
        <v>212</v>
      </c>
      <c r="D33" s="4" t="s">
        <v>258</v>
      </c>
      <c r="E33" s="4" t="s">
        <v>86</v>
      </c>
      <c r="F33" s="4" t="s">
        <v>259</v>
      </c>
      <c r="G33" s="6">
        <v>46288</v>
      </c>
      <c r="H33" s="6">
        <v>46289</v>
      </c>
      <c r="I33" s="4" t="s">
        <v>260</v>
      </c>
      <c r="J33" s="4"/>
      <c r="K33" s="4" t="s">
        <v>261</v>
      </c>
      <c r="L33" s="4"/>
      <c r="M33" s="4" t="s">
        <v>262</v>
      </c>
      <c r="N33" s="4" t="s">
        <v>263</v>
      </c>
    </row>
    <row r="34" spans="1:14" ht="78" customHeight="1" x14ac:dyDescent="0.25">
      <c r="A34" s="21" t="s">
        <v>264</v>
      </c>
      <c r="B34" s="21" t="s">
        <v>36</v>
      </c>
      <c r="C34" s="21" t="s">
        <v>212</v>
      </c>
      <c r="D34" s="21" t="s">
        <v>265</v>
      </c>
      <c r="E34" s="21" t="s">
        <v>86</v>
      </c>
      <c r="F34" s="21" t="s">
        <v>266</v>
      </c>
      <c r="G34" s="22">
        <v>46290</v>
      </c>
      <c r="H34" s="22">
        <v>46293</v>
      </c>
      <c r="I34" s="21" t="s">
        <v>260</v>
      </c>
      <c r="J34" s="21"/>
      <c r="K34" s="21" t="s">
        <v>214</v>
      </c>
      <c r="L34" s="21" t="s">
        <v>257</v>
      </c>
      <c r="M34" s="21" t="s">
        <v>267</v>
      </c>
      <c r="N34" s="21" t="s">
        <v>263</v>
      </c>
    </row>
    <row r="35" spans="1:14" ht="78" customHeight="1" x14ac:dyDescent="0.25">
      <c r="A35" s="4" t="s">
        <v>268</v>
      </c>
      <c r="B35" s="4" t="s">
        <v>36</v>
      </c>
      <c r="C35" s="4" t="s">
        <v>269</v>
      </c>
      <c r="D35" s="4" t="s">
        <v>270</v>
      </c>
      <c r="E35" s="4" t="s">
        <v>86</v>
      </c>
      <c r="F35" s="4" t="s">
        <v>271</v>
      </c>
      <c r="G35" s="6">
        <v>46294</v>
      </c>
      <c r="H35" s="6">
        <v>46294</v>
      </c>
      <c r="I35" s="4" t="s">
        <v>260</v>
      </c>
      <c r="J35" s="4"/>
      <c r="K35" s="4" t="s">
        <v>272</v>
      </c>
      <c r="L35" s="4" t="s">
        <v>264</v>
      </c>
      <c r="M35" s="4" t="s">
        <v>273</v>
      </c>
      <c r="N35" s="4" t="s">
        <v>263</v>
      </c>
    </row>
    <row r="36" spans="1:14" ht="78" customHeight="1" x14ac:dyDescent="0.25">
      <c r="A36" s="21" t="s">
        <v>274</v>
      </c>
      <c r="B36" s="21" t="s">
        <v>36</v>
      </c>
      <c r="C36" s="21" t="s">
        <v>212</v>
      </c>
      <c r="D36" s="21" t="s">
        <v>275</v>
      </c>
      <c r="E36" s="21" t="s">
        <v>86</v>
      </c>
      <c r="F36" s="21" t="s">
        <v>276</v>
      </c>
      <c r="G36" s="22">
        <v>46295</v>
      </c>
      <c r="H36" s="22">
        <v>46295</v>
      </c>
      <c r="I36" s="21" t="s">
        <v>260</v>
      </c>
      <c r="J36" s="21"/>
      <c r="K36" s="21" t="s">
        <v>214</v>
      </c>
      <c r="L36" s="21" t="s">
        <v>268</v>
      </c>
      <c r="M36" s="21" t="s">
        <v>277</v>
      </c>
      <c r="N36" s="21" t="s">
        <v>263</v>
      </c>
    </row>
    <row r="37" spans="1:14" ht="78" customHeight="1" x14ac:dyDescent="0.25">
      <c r="A37" s="4" t="s">
        <v>278</v>
      </c>
      <c r="B37" s="4" t="s">
        <v>39</v>
      </c>
      <c r="C37" s="4" t="s">
        <v>279</v>
      </c>
      <c r="D37" s="4" t="s">
        <v>280</v>
      </c>
      <c r="E37" s="4" t="s">
        <v>281</v>
      </c>
      <c r="F37" s="4" t="s">
        <v>282</v>
      </c>
      <c r="G37" s="6">
        <v>46296</v>
      </c>
      <c r="H37" s="6">
        <v>46297</v>
      </c>
      <c r="I37" s="4" t="s">
        <v>260</v>
      </c>
      <c r="J37" s="4"/>
      <c r="K37" s="4" t="s">
        <v>283</v>
      </c>
      <c r="L37" s="4" t="s">
        <v>274</v>
      </c>
      <c r="M37" s="4" t="s">
        <v>284</v>
      </c>
      <c r="N37" s="4" t="s">
        <v>263</v>
      </c>
    </row>
    <row r="38" spans="1:14" ht="78" customHeight="1" x14ac:dyDescent="0.25">
      <c r="A38" s="21" t="s">
        <v>285</v>
      </c>
      <c r="B38" s="21" t="s">
        <v>39</v>
      </c>
      <c r="C38" s="21" t="s">
        <v>279</v>
      </c>
      <c r="D38" s="21" t="s">
        <v>286</v>
      </c>
      <c r="E38" s="21" t="s">
        <v>287</v>
      </c>
      <c r="F38" s="21" t="s">
        <v>282</v>
      </c>
      <c r="G38" s="22">
        <v>46300</v>
      </c>
      <c r="H38" s="22">
        <v>46301</v>
      </c>
      <c r="I38" s="21" t="s">
        <v>260</v>
      </c>
      <c r="J38" s="21"/>
      <c r="K38" s="21" t="s">
        <v>283</v>
      </c>
      <c r="L38" s="21" t="s">
        <v>278</v>
      </c>
      <c r="M38" s="21" t="s">
        <v>288</v>
      </c>
      <c r="N38" s="21" t="s">
        <v>263</v>
      </c>
    </row>
    <row r="39" spans="1:14" ht="78" customHeight="1" x14ac:dyDescent="0.25">
      <c r="A39" s="4" t="s">
        <v>289</v>
      </c>
      <c r="B39" s="4" t="s">
        <v>39</v>
      </c>
      <c r="C39" s="4" t="s">
        <v>279</v>
      </c>
      <c r="D39" s="4" t="s">
        <v>290</v>
      </c>
      <c r="E39" s="4" t="s">
        <v>291</v>
      </c>
      <c r="F39" s="4" t="s">
        <v>282</v>
      </c>
      <c r="G39" s="6">
        <v>46302</v>
      </c>
      <c r="H39" s="6">
        <v>46304</v>
      </c>
      <c r="I39" s="4" t="s">
        <v>260</v>
      </c>
      <c r="J39" s="4"/>
      <c r="K39" s="4" t="s">
        <v>283</v>
      </c>
      <c r="L39" s="4" t="s">
        <v>285</v>
      </c>
      <c r="M39" s="4" t="s">
        <v>292</v>
      </c>
      <c r="N39" s="4" t="s">
        <v>263</v>
      </c>
    </row>
    <row r="40" spans="1:14" ht="78" customHeight="1" x14ac:dyDescent="0.25">
      <c r="A40" s="21" t="s">
        <v>293</v>
      </c>
      <c r="B40" s="21" t="s">
        <v>39</v>
      </c>
      <c r="C40" s="21" t="s">
        <v>279</v>
      </c>
      <c r="D40" s="21" t="s">
        <v>294</v>
      </c>
      <c r="E40" s="21" t="s">
        <v>160</v>
      </c>
      <c r="F40" s="21" t="s">
        <v>282</v>
      </c>
      <c r="G40" s="22">
        <v>46307</v>
      </c>
      <c r="H40" s="22">
        <v>46308</v>
      </c>
      <c r="I40" s="21" t="s">
        <v>260</v>
      </c>
      <c r="J40" s="21"/>
      <c r="K40" s="21" t="s">
        <v>283</v>
      </c>
      <c r="L40" s="21" t="s">
        <v>289</v>
      </c>
      <c r="M40" s="21" t="s">
        <v>295</v>
      </c>
      <c r="N40" s="21" t="s">
        <v>263</v>
      </c>
    </row>
    <row r="41" spans="1:14" ht="78" customHeight="1" x14ac:dyDescent="0.25">
      <c r="A41" s="4" t="s">
        <v>296</v>
      </c>
      <c r="B41" s="4" t="s">
        <v>39</v>
      </c>
      <c r="C41" s="4" t="s">
        <v>279</v>
      </c>
      <c r="D41" s="4" t="s">
        <v>297</v>
      </c>
      <c r="E41" s="4" t="s">
        <v>298</v>
      </c>
      <c r="F41" s="4" t="s">
        <v>282</v>
      </c>
      <c r="G41" s="6">
        <v>46309</v>
      </c>
      <c r="H41" s="6">
        <v>46310</v>
      </c>
      <c r="I41" s="4" t="s">
        <v>260</v>
      </c>
      <c r="J41" s="4"/>
      <c r="K41" s="4" t="s">
        <v>283</v>
      </c>
      <c r="L41" s="4" t="s">
        <v>293</v>
      </c>
      <c r="M41" s="4" t="s">
        <v>299</v>
      </c>
      <c r="N41" s="4" t="s">
        <v>263</v>
      </c>
    </row>
    <row r="42" spans="1:14" ht="78" customHeight="1" x14ac:dyDescent="0.25">
      <c r="A42" s="21" t="s">
        <v>300</v>
      </c>
      <c r="B42" s="21" t="s">
        <v>39</v>
      </c>
      <c r="C42" s="21" t="s">
        <v>279</v>
      </c>
      <c r="D42" s="21" t="s">
        <v>301</v>
      </c>
      <c r="E42" s="21" t="s">
        <v>302</v>
      </c>
      <c r="F42" s="21" t="s">
        <v>282</v>
      </c>
      <c r="G42" s="22">
        <v>46311</v>
      </c>
      <c r="H42" s="22">
        <v>46314</v>
      </c>
      <c r="I42" s="21" t="s">
        <v>260</v>
      </c>
      <c r="J42" s="21"/>
      <c r="K42" s="21" t="s">
        <v>283</v>
      </c>
      <c r="L42" s="21" t="s">
        <v>296</v>
      </c>
      <c r="M42" s="21" t="s">
        <v>303</v>
      </c>
      <c r="N42" s="21" t="s">
        <v>263</v>
      </c>
    </row>
    <row r="43" spans="1:14" ht="78" customHeight="1" x14ac:dyDescent="0.25">
      <c r="A43" s="4" t="s">
        <v>304</v>
      </c>
      <c r="B43" s="4" t="s">
        <v>39</v>
      </c>
      <c r="C43" s="4" t="s">
        <v>279</v>
      </c>
      <c r="D43" s="4" t="s">
        <v>305</v>
      </c>
      <c r="E43" s="4" t="s">
        <v>306</v>
      </c>
      <c r="F43" s="4" t="s">
        <v>282</v>
      </c>
      <c r="G43" s="6">
        <v>46315</v>
      </c>
      <c r="H43" s="6">
        <v>46316</v>
      </c>
      <c r="I43" s="4" t="s">
        <v>260</v>
      </c>
      <c r="J43" s="4"/>
      <c r="K43" s="4" t="s">
        <v>283</v>
      </c>
      <c r="L43" s="4" t="s">
        <v>300</v>
      </c>
      <c r="M43" s="4" t="s">
        <v>307</v>
      </c>
      <c r="N43" s="4" t="s">
        <v>263</v>
      </c>
    </row>
    <row r="44" spans="1:14" ht="78" customHeight="1" x14ac:dyDescent="0.25">
      <c r="A44" s="21" t="s">
        <v>308</v>
      </c>
      <c r="B44" s="21" t="s">
        <v>39</v>
      </c>
      <c r="C44" s="21" t="s">
        <v>279</v>
      </c>
      <c r="D44" s="21" t="s">
        <v>309</v>
      </c>
      <c r="E44" s="21" t="s">
        <v>310</v>
      </c>
      <c r="F44" s="21" t="s">
        <v>282</v>
      </c>
      <c r="G44" s="22">
        <v>46317</v>
      </c>
      <c r="H44" s="22">
        <v>46318</v>
      </c>
      <c r="I44" s="21" t="s">
        <v>260</v>
      </c>
      <c r="J44" s="21"/>
      <c r="K44" s="21" t="s">
        <v>283</v>
      </c>
      <c r="L44" s="21" t="s">
        <v>304</v>
      </c>
      <c r="M44" s="21" t="s">
        <v>311</v>
      </c>
      <c r="N44" s="21" t="s">
        <v>263</v>
      </c>
    </row>
    <row r="45" spans="1:14" ht="78" customHeight="1" x14ac:dyDescent="0.25">
      <c r="A45" s="4" t="s">
        <v>312</v>
      </c>
      <c r="B45" s="4" t="s">
        <v>39</v>
      </c>
      <c r="C45" s="4" t="s">
        <v>279</v>
      </c>
      <c r="D45" s="4" t="s">
        <v>313</v>
      </c>
      <c r="E45" s="4" t="s">
        <v>314</v>
      </c>
      <c r="F45" s="4" t="s">
        <v>282</v>
      </c>
      <c r="G45" s="6">
        <v>46321</v>
      </c>
      <c r="H45" s="6">
        <v>46322</v>
      </c>
      <c r="I45" s="4" t="s">
        <v>260</v>
      </c>
      <c r="J45" s="4"/>
      <c r="K45" s="4" t="s">
        <v>283</v>
      </c>
      <c r="L45" s="4" t="s">
        <v>308</v>
      </c>
      <c r="M45" s="4" t="s">
        <v>315</v>
      </c>
      <c r="N45" s="4" t="s">
        <v>263</v>
      </c>
    </row>
    <row r="46" spans="1:14" ht="78" customHeight="1" x14ac:dyDescent="0.25">
      <c r="A46" s="21" t="s">
        <v>316</v>
      </c>
      <c r="B46" s="21" t="s">
        <v>39</v>
      </c>
      <c r="C46" s="21" t="s">
        <v>279</v>
      </c>
      <c r="D46" s="21" t="s">
        <v>317</v>
      </c>
      <c r="E46" s="21" t="s">
        <v>318</v>
      </c>
      <c r="F46" s="21" t="s">
        <v>282</v>
      </c>
      <c r="G46" s="22">
        <v>46323</v>
      </c>
      <c r="H46" s="22">
        <v>46324</v>
      </c>
      <c r="I46" s="21" t="s">
        <v>260</v>
      </c>
      <c r="J46" s="21"/>
      <c r="K46" s="21" t="s">
        <v>283</v>
      </c>
      <c r="L46" s="21" t="s">
        <v>312</v>
      </c>
      <c r="M46" s="21" t="s">
        <v>319</v>
      </c>
      <c r="N46" s="21" t="s">
        <v>263</v>
      </c>
    </row>
    <row r="47" spans="1:14" ht="78" customHeight="1" x14ac:dyDescent="0.25">
      <c r="A47" s="4" t="s">
        <v>320</v>
      </c>
      <c r="B47" s="4" t="s">
        <v>39</v>
      </c>
      <c r="C47" s="4" t="s">
        <v>212</v>
      </c>
      <c r="D47" s="4" t="s">
        <v>321</v>
      </c>
      <c r="E47" s="4" t="s">
        <v>86</v>
      </c>
      <c r="F47" s="4" t="s">
        <v>322</v>
      </c>
      <c r="G47" s="6">
        <v>46325</v>
      </c>
      <c r="H47" s="6">
        <v>46325</v>
      </c>
      <c r="I47" s="4" t="s">
        <v>260</v>
      </c>
      <c r="J47" s="4"/>
      <c r="K47" s="4" t="s">
        <v>214</v>
      </c>
      <c r="L47" s="4" t="s">
        <v>316</v>
      </c>
      <c r="M47" s="4" t="s">
        <v>323</v>
      </c>
      <c r="N47" s="4" t="s">
        <v>263</v>
      </c>
    </row>
    <row r="48" spans="1:14" ht="78" customHeight="1" x14ac:dyDescent="0.25">
      <c r="A48" s="21" t="s">
        <v>324</v>
      </c>
      <c r="B48" s="21" t="s">
        <v>42</v>
      </c>
      <c r="C48" s="21" t="s">
        <v>269</v>
      </c>
      <c r="D48" s="21" t="s">
        <v>325</v>
      </c>
      <c r="E48" s="21" t="s">
        <v>86</v>
      </c>
      <c r="F48" s="21" t="s">
        <v>271</v>
      </c>
      <c r="G48" s="22">
        <v>46328</v>
      </c>
      <c r="H48" s="22">
        <v>46330</v>
      </c>
      <c r="I48" s="21" t="s">
        <v>260</v>
      </c>
      <c r="J48" s="21"/>
      <c r="K48" s="21" t="s">
        <v>326</v>
      </c>
      <c r="L48" s="21" t="s">
        <v>320</v>
      </c>
      <c r="M48" s="21" t="s">
        <v>327</v>
      </c>
      <c r="N48" s="21" t="s">
        <v>263</v>
      </c>
    </row>
    <row r="49" spans="1:14" ht="78" customHeight="1" x14ac:dyDescent="0.25">
      <c r="A49" s="4" t="s">
        <v>328</v>
      </c>
      <c r="B49" s="4" t="s">
        <v>42</v>
      </c>
      <c r="C49" s="4" t="s">
        <v>269</v>
      </c>
      <c r="D49" s="4" t="s">
        <v>329</v>
      </c>
      <c r="E49" s="4" t="s">
        <v>86</v>
      </c>
      <c r="F49" s="4" t="s">
        <v>330</v>
      </c>
      <c r="G49" s="6">
        <v>46331</v>
      </c>
      <c r="H49" s="6">
        <v>46336</v>
      </c>
      <c r="I49" s="4" t="s">
        <v>260</v>
      </c>
      <c r="J49" s="4"/>
      <c r="K49" s="4" t="s">
        <v>331</v>
      </c>
      <c r="L49" s="4" t="s">
        <v>324</v>
      </c>
      <c r="M49" s="4" t="s">
        <v>332</v>
      </c>
      <c r="N49" s="4" t="s">
        <v>263</v>
      </c>
    </row>
    <row r="50" spans="1:14" ht="78" customHeight="1" x14ac:dyDescent="0.25">
      <c r="A50" s="21" t="s">
        <v>333</v>
      </c>
      <c r="B50" s="21" t="s">
        <v>42</v>
      </c>
      <c r="C50" s="21" t="s">
        <v>269</v>
      </c>
      <c r="D50" s="21" t="s">
        <v>334</v>
      </c>
      <c r="E50" s="21" t="s">
        <v>86</v>
      </c>
      <c r="F50" s="21" t="s">
        <v>271</v>
      </c>
      <c r="G50" s="22">
        <v>46337</v>
      </c>
      <c r="H50" s="22">
        <v>46339</v>
      </c>
      <c r="I50" s="21" t="s">
        <v>260</v>
      </c>
      <c r="J50" s="21"/>
      <c r="K50" s="21" t="s">
        <v>335</v>
      </c>
      <c r="L50" s="21" t="s">
        <v>328</v>
      </c>
      <c r="M50" s="21" t="s">
        <v>336</v>
      </c>
      <c r="N50" s="21" t="s">
        <v>263</v>
      </c>
    </row>
    <row r="51" spans="1:14" ht="78" customHeight="1" x14ac:dyDescent="0.25">
      <c r="A51" s="4" t="s">
        <v>337</v>
      </c>
      <c r="B51" s="4" t="s">
        <v>42</v>
      </c>
      <c r="C51" s="4" t="s">
        <v>139</v>
      </c>
      <c r="D51" s="4" t="s">
        <v>338</v>
      </c>
      <c r="E51" s="4" t="s">
        <v>86</v>
      </c>
      <c r="F51" s="4" t="s">
        <v>266</v>
      </c>
      <c r="G51" s="6">
        <v>46342</v>
      </c>
      <c r="H51" s="6">
        <v>46344</v>
      </c>
      <c r="I51" s="4" t="s">
        <v>260</v>
      </c>
      <c r="J51" s="4"/>
      <c r="K51" s="4" t="s">
        <v>339</v>
      </c>
      <c r="L51" s="4" t="s">
        <v>333</v>
      </c>
      <c r="M51" s="4" t="s">
        <v>340</v>
      </c>
      <c r="N51" s="4" t="s">
        <v>263</v>
      </c>
    </row>
    <row r="52" spans="1:14" ht="78" customHeight="1" x14ac:dyDescent="0.25">
      <c r="A52" s="21" t="s">
        <v>341</v>
      </c>
      <c r="B52" s="21" t="s">
        <v>42</v>
      </c>
      <c r="C52" s="21" t="s">
        <v>177</v>
      </c>
      <c r="D52" s="21" t="s">
        <v>342</v>
      </c>
      <c r="E52" s="21" t="s">
        <v>86</v>
      </c>
      <c r="F52" s="21" t="s">
        <v>343</v>
      </c>
      <c r="G52" s="22">
        <v>46345</v>
      </c>
      <c r="H52" s="22">
        <v>46346</v>
      </c>
      <c r="I52" s="21" t="s">
        <v>260</v>
      </c>
      <c r="J52" s="21"/>
      <c r="K52" s="21" t="s">
        <v>344</v>
      </c>
      <c r="L52" s="21" t="s">
        <v>337</v>
      </c>
      <c r="M52" s="21" t="s">
        <v>345</v>
      </c>
      <c r="N52" s="21" t="s">
        <v>263</v>
      </c>
    </row>
    <row r="53" spans="1:14" ht="78" customHeight="1" x14ac:dyDescent="0.25">
      <c r="A53" s="4" t="s">
        <v>346</v>
      </c>
      <c r="B53" s="4" t="s">
        <v>42</v>
      </c>
      <c r="C53" s="4" t="s">
        <v>166</v>
      </c>
      <c r="D53" s="4" t="s">
        <v>347</v>
      </c>
      <c r="E53" s="4" t="s">
        <v>86</v>
      </c>
      <c r="F53" s="4" t="s">
        <v>348</v>
      </c>
      <c r="G53" s="6">
        <v>46349</v>
      </c>
      <c r="H53" s="6">
        <v>46350</v>
      </c>
      <c r="I53" s="4" t="s">
        <v>260</v>
      </c>
      <c r="J53" s="4"/>
      <c r="K53" s="4" t="s">
        <v>349</v>
      </c>
      <c r="L53" s="4" t="s">
        <v>341</v>
      </c>
      <c r="M53" s="4" t="s">
        <v>350</v>
      </c>
      <c r="N53" s="4" t="s">
        <v>263</v>
      </c>
    </row>
    <row r="54" spans="1:14" ht="78" customHeight="1" x14ac:dyDescent="0.25">
      <c r="A54" s="21" t="s">
        <v>351</v>
      </c>
      <c r="B54" s="21" t="s">
        <v>42</v>
      </c>
      <c r="C54" s="21" t="s">
        <v>158</v>
      </c>
      <c r="D54" s="21" t="s">
        <v>352</v>
      </c>
      <c r="E54" s="21" t="s">
        <v>86</v>
      </c>
      <c r="F54" s="21" t="s">
        <v>353</v>
      </c>
      <c r="G54" s="22">
        <v>46351</v>
      </c>
      <c r="H54" s="22">
        <v>46353</v>
      </c>
      <c r="I54" s="21" t="s">
        <v>260</v>
      </c>
      <c r="J54" s="21"/>
      <c r="K54" s="21" t="s">
        <v>354</v>
      </c>
      <c r="L54" s="21" t="s">
        <v>346</v>
      </c>
      <c r="M54" s="21" t="s">
        <v>355</v>
      </c>
      <c r="N54" s="21" t="s">
        <v>263</v>
      </c>
    </row>
    <row r="55" spans="1:14" ht="78" customHeight="1" x14ac:dyDescent="0.25">
      <c r="A55" s="4" t="s">
        <v>356</v>
      </c>
      <c r="B55" s="4" t="s">
        <v>42</v>
      </c>
      <c r="C55" s="4" t="s">
        <v>212</v>
      </c>
      <c r="D55" s="4" t="s">
        <v>357</v>
      </c>
      <c r="E55" s="4" t="s">
        <v>86</v>
      </c>
      <c r="F55" s="4" t="s">
        <v>276</v>
      </c>
      <c r="G55" s="6">
        <v>46356</v>
      </c>
      <c r="H55" s="6">
        <v>46356</v>
      </c>
      <c r="I55" s="4" t="s">
        <v>260</v>
      </c>
      <c r="J55" s="4"/>
      <c r="K55" s="4" t="s">
        <v>214</v>
      </c>
      <c r="L55" s="4" t="s">
        <v>351</v>
      </c>
      <c r="M55" s="4" t="s">
        <v>358</v>
      </c>
      <c r="N55" s="4" t="s">
        <v>263</v>
      </c>
    </row>
    <row r="56" spans="1:14" ht="78" customHeight="1" x14ac:dyDescent="0.25">
      <c r="A56" s="21" t="s">
        <v>359</v>
      </c>
      <c r="B56" s="21" t="s">
        <v>45</v>
      </c>
      <c r="C56" s="21" t="s">
        <v>269</v>
      </c>
      <c r="D56" s="21" t="s">
        <v>360</v>
      </c>
      <c r="E56" s="21" t="s">
        <v>86</v>
      </c>
      <c r="F56" s="21" t="s">
        <v>259</v>
      </c>
      <c r="G56" s="22">
        <v>46357</v>
      </c>
      <c r="H56" s="22">
        <v>46359</v>
      </c>
      <c r="I56" s="21" t="s">
        <v>260</v>
      </c>
      <c r="J56" s="21"/>
      <c r="K56" s="21" t="s">
        <v>361</v>
      </c>
      <c r="L56" s="21" t="s">
        <v>356</v>
      </c>
      <c r="M56" s="21" t="s">
        <v>362</v>
      </c>
      <c r="N56" s="21" t="s">
        <v>263</v>
      </c>
    </row>
    <row r="57" spans="1:14" ht="78" customHeight="1" x14ac:dyDescent="0.25">
      <c r="A57" s="4" t="s">
        <v>363</v>
      </c>
      <c r="B57" s="4" t="s">
        <v>45</v>
      </c>
      <c r="C57" s="4" t="s">
        <v>364</v>
      </c>
      <c r="D57" s="4" t="s">
        <v>365</v>
      </c>
      <c r="E57" s="4" t="s">
        <v>86</v>
      </c>
      <c r="F57" s="4" t="s">
        <v>366</v>
      </c>
      <c r="G57" s="6">
        <v>46360</v>
      </c>
      <c r="H57" s="6">
        <v>46363</v>
      </c>
      <c r="I57" s="4" t="s">
        <v>260</v>
      </c>
      <c r="J57" s="4"/>
      <c r="K57" s="4" t="s">
        <v>367</v>
      </c>
      <c r="L57" s="4" t="s">
        <v>359</v>
      </c>
      <c r="M57" s="4" t="s">
        <v>368</v>
      </c>
      <c r="N57" s="4" t="s">
        <v>263</v>
      </c>
    </row>
    <row r="58" spans="1:14" ht="78" customHeight="1" x14ac:dyDescent="0.25">
      <c r="A58" s="21" t="s">
        <v>369</v>
      </c>
      <c r="B58" s="21" t="s">
        <v>45</v>
      </c>
      <c r="C58" s="21" t="s">
        <v>364</v>
      </c>
      <c r="D58" s="21" t="s">
        <v>370</v>
      </c>
      <c r="E58" s="21" t="s">
        <v>86</v>
      </c>
      <c r="F58" s="21" t="s">
        <v>371</v>
      </c>
      <c r="G58" s="22">
        <v>46366</v>
      </c>
      <c r="H58" s="22">
        <v>46367</v>
      </c>
      <c r="I58" s="21" t="s">
        <v>260</v>
      </c>
      <c r="J58" s="21"/>
      <c r="K58" s="21" t="s">
        <v>372</v>
      </c>
      <c r="L58" s="21" t="s">
        <v>363</v>
      </c>
      <c r="M58" s="21" t="s">
        <v>373</v>
      </c>
      <c r="N58" s="21" t="s">
        <v>263</v>
      </c>
    </row>
    <row r="59" spans="1:14" ht="78" customHeight="1" x14ac:dyDescent="0.25">
      <c r="A59" s="4" t="s">
        <v>374</v>
      </c>
      <c r="B59" s="4" t="s">
        <v>45</v>
      </c>
      <c r="C59" s="4" t="s">
        <v>364</v>
      </c>
      <c r="D59" s="4" t="s">
        <v>375</v>
      </c>
      <c r="E59" s="4" t="s">
        <v>86</v>
      </c>
      <c r="F59" s="4" t="s">
        <v>371</v>
      </c>
      <c r="G59" s="6">
        <v>46370</v>
      </c>
      <c r="H59" s="6">
        <v>46371</v>
      </c>
      <c r="I59" s="4" t="s">
        <v>260</v>
      </c>
      <c r="J59" s="4"/>
      <c r="K59" s="4" t="s">
        <v>376</v>
      </c>
      <c r="L59" s="4" t="s">
        <v>369</v>
      </c>
      <c r="M59" s="4" t="s">
        <v>377</v>
      </c>
      <c r="N59" s="4" t="s">
        <v>263</v>
      </c>
    </row>
    <row r="60" spans="1:14" ht="78" customHeight="1" x14ac:dyDescent="0.25">
      <c r="A60" s="21" t="s">
        <v>378</v>
      </c>
      <c r="B60" s="21" t="s">
        <v>45</v>
      </c>
      <c r="C60" s="21" t="s">
        <v>364</v>
      </c>
      <c r="D60" s="21" t="s">
        <v>379</v>
      </c>
      <c r="E60" s="21" t="s">
        <v>86</v>
      </c>
      <c r="F60" s="21" t="s">
        <v>371</v>
      </c>
      <c r="G60" s="22">
        <v>46372</v>
      </c>
      <c r="H60" s="22">
        <v>46373</v>
      </c>
      <c r="I60" s="21" t="s">
        <v>260</v>
      </c>
      <c r="J60" s="21"/>
      <c r="K60" s="21" t="s">
        <v>380</v>
      </c>
      <c r="L60" s="21" t="s">
        <v>374</v>
      </c>
      <c r="M60" s="21" t="s">
        <v>381</v>
      </c>
      <c r="N60" s="21" t="s">
        <v>263</v>
      </c>
    </row>
    <row r="61" spans="1:14" ht="78" customHeight="1" x14ac:dyDescent="0.25">
      <c r="A61" s="4" t="s">
        <v>382</v>
      </c>
      <c r="B61" s="4" t="s">
        <v>45</v>
      </c>
      <c r="C61" s="4" t="s">
        <v>269</v>
      </c>
      <c r="D61" s="4" t="s">
        <v>383</v>
      </c>
      <c r="E61" s="4" t="s">
        <v>86</v>
      </c>
      <c r="F61" s="4" t="s">
        <v>271</v>
      </c>
      <c r="G61" s="6">
        <v>46374</v>
      </c>
      <c r="H61" s="6">
        <v>46379</v>
      </c>
      <c r="I61" s="4" t="s">
        <v>260</v>
      </c>
      <c r="J61" s="4"/>
      <c r="K61" s="4" t="s">
        <v>384</v>
      </c>
      <c r="L61" s="4" t="s">
        <v>378</v>
      </c>
      <c r="M61" s="4" t="s">
        <v>385</v>
      </c>
      <c r="N61" s="4" t="s">
        <v>263</v>
      </c>
    </row>
    <row r="62" spans="1:14" ht="78" customHeight="1" x14ac:dyDescent="0.25">
      <c r="A62" s="21" t="s">
        <v>386</v>
      </c>
      <c r="B62" s="21" t="s">
        <v>45</v>
      </c>
      <c r="C62" s="21" t="s">
        <v>212</v>
      </c>
      <c r="D62" s="21" t="s">
        <v>387</v>
      </c>
      <c r="E62" s="21" t="s">
        <v>86</v>
      </c>
      <c r="F62" s="21" t="s">
        <v>348</v>
      </c>
      <c r="G62" s="22">
        <v>46380</v>
      </c>
      <c r="H62" s="22">
        <v>46384</v>
      </c>
      <c r="I62" s="21" t="s">
        <v>260</v>
      </c>
      <c r="J62" s="21"/>
      <c r="K62" s="21" t="s">
        <v>388</v>
      </c>
      <c r="L62" s="21" t="s">
        <v>382</v>
      </c>
      <c r="M62" s="21" t="s">
        <v>389</v>
      </c>
      <c r="N62" s="21" t="s">
        <v>263</v>
      </c>
    </row>
    <row r="63" spans="1:14" ht="78" customHeight="1" x14ac:dyDescent="0.25">
      <c r="A63" s="4" t="s">
        <v>390</v>
      </c>
      <c r="B63" s="4" t="s">
        <v>45</v>
      </c>
      <c r="C63" s="4" t="s">
        <v>364</v>
      </c>
      <c r="D63" s="4" t="s">
        <v>391</v>
      </c>
      <c r="E63" s="4" t="s">
        <v>86</v>
      </c>
      <c r="F63" s="4" t="s">
        <v>322</v>
      </c>
      <c r="G63" s="6">
        <v>46385</v>
      </c>
      <c r="H63" s="6">
        <v>46386</v>
      </c>
      <c r="I63" s="4" t="s">
        <v>260</v>
      </c>
      <c r="J63" s="4"/>
      <c r="K63" s="4" t="s">
        <v>392</v>
      </c>
      <c r="L63" s="4" t="s">
        <v>386</v>
      </c>
      <c r="M63" s="4" t="s">
        <v>393</v>
      </c>
      <c r="N63" s="4" t="s">
        <v>263</v>
      </c>
    </row>
    <row r="64" spans="1:14" ht="78" customHeight="1" x14ac:dyDescent="0.25">
      <c r="A64" s="21" t="s">
        <v>394</v>
      </c>
      <c r="B64" s="21" t="s">
        <v>45</v>
      </c>
      <c r="C64" s="21" t="s">
        <v>212</v>
      </c>
      <c r="D64" s="21" t="s">
        <v>395</v>
      </c>
      <c r="E64" s="21" t="s">
        <v>86</v>
      </c>
      <c r="F64" s="21" t="s">
        <v>276</v>
      </c>
      <c r="G64" s="22">
        <v>46387</v>
      </c>
      <c r="H64" s="22">
        <v>46387</v>
      </c>
      <c r="I64" s="21" t="s">
        <v>260</v>
      </c>
      <c r="J64" s="21"/>
      <c r="K64" s="21" t="s">
        <v>214</v>
      </c>
      <c r="L64" s="21" t="s">
        <v>390</v>
      </c>
      <c r="M64" s="21" t="s">
        <v>396</v>
      </c>
      <c r="N64" s="21" t="s">
        <v>263</v>
      </c>
    </row>
  </sheetData>
  <autoFilter ref="A4:N64" xr:uid="{00000000-0009-0000-0000-000006000000}"/>
  <mergeCells count="2">
    <mergeCell ref="A1:N2"/>
    <mergeCell ref="A3:N3"/>
  </mergeCells>
  <dataValidations count="1">
    <dataValidation type="list" showErrorMessage="1" errorTitle="Naturaleza no válida" error="Selecciona un valor de la lista." sqref="I5:I64" xr:uid="{00000000-0002-0000-0600-000000000000}">
      <formula1>"Registro Git,Despliegue documentado,Documento local,Propuesta"</formula1>
    </dataValidation>
  </dataValidations>
  <printOptions horizontalCentered="1"/>
  <pageMargins left="0.22" right="0.22" top="0.35" bottom="0.35" header="0.5" footer="0.5"/>
  <pageSetup paperSize="8" fitToHeight="0" orientation="landscape"/>
  <headerFooter>
    <oddFooter>&amp;C&amp;8 KJA · Planificación al 22/09/2026 · &amp;P /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130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8" customWidth="1"/>
    <col min="2" max="2" width="19" customWidth="1"/>
    <col min="3" max="3" width="21" customWidth="1"/>
    <col min="4" max="4" width="49" customWidth="1"/>
  </cols>
  <sheetData>
    <row r="1" spans="1:4" x14ac:dyDescent="0.25">
      <c r="A1" s="26" t="s">
        <v>397</v>
      </c>
      <c r="B1" s="27"/>
      <c r="C1" s="27"/>
      <c r="D1" s="27"/>
    </row>
    <row r="2" spans="1:4" x14ac:dyDescent="0.25">
      <c r="A2" s="27"/>
      <c r="B2" s="27"/>
      <c r="C2" s="27"/>
      <c r="D2" s="27"/>
    </row>
    <row r="4" spans="1:4" x14ac:dyDescent="0.25">
      <c r="A4" s="5" t="s">
        <v>398</v>
      </c>
      <c r="B4" s="5" t="s">
        <v>399</v>
      </c>
      <c r="C4" s="5" t="s">
        <v>400</v>
      </c>
      <c r="D4" s="5" t="s">
        <v>401</v>
      </c>
    </row>
    <row r="5" spans="1:4" ht="21.95" customHeight="1" x14ac:dyDescent="0.25">
      <c r="A5" s="6">
        <v>46262</v>
      </c>
      <c r="B5" s="4" t="s">
        <v>402</v>
      </c>
      <c r="C5" s="4">
        <v>1</v>
      </c>
      <c r="D5" s="4" t="s">
        <v>403</v>
      </c>
    </row>
    <row r="6" spans="1:4" ht="21.95" customHeight="1" x14ac:dyDescent="0.25">
      <c r="A6" s="23">
        <v>46263</v>
      </c>
      <c r="B6" s="2" t="s">
        <v>404</v>
      </c>
      <c r="C6" s="2">
        <v>0</v>
      </c>
      <c r="D6" s="2" t="s">
        <v>405</v>
      </c>
    </row>
    <row r="7" spans="1:4" ht="21.95" customHeight="1" x14ac:dyDescent="0.25">
      <c r="A7" s="23">
        <v>46264</v>
      </c>
      <c r="B7" s="2" t="s">
        <v>406</v>
      </c>
      <c r="C7" s="2">
        <v>0</v>
      </c>
      <c r="D7" s="2" t="s">
        <v>405</v>
      </c>
    </row>
    <row r="8" spans="1:4" ht="21.95" customHeight="1" x14ac:dyDescent="0.25">
      <c r="A8" s="6">
        <v>46265</v>
      </c>
      <c r="B8" s="4" t="s">
        <v>407</v>
      </c>
      <c r="C8" s="4">
        <v>1</v>
      </c>
      <c r="D8" s="4" t="s">
        <v>403</v>
      </c>
    </row>
    <row r="9" spans="1:4" ht="21.95" customHeight="1" x14ac:dyDescent="0.25">
      <c r="A9" s="6">
        <v>46266</v>
      </c>
      <c r="B9" s="4" t="s">
        <v>408</v>
      </c>
      <c r="C9" s="4">
        <v>1</v>
      </c>
      <c r="D9" s="4" t="s">
        <v>403</v>
      </c>
    </row>
    <row r="10" spans="1:4" ht="21.95" customHeight="1" x14ac:dyDescent="0.25">
      <c r="A10" s="6">
        <v>46267</v>
      </c>
      <c r="B10" s="4" t="s">
        <v>409</v>
      </c>
      <c r="C10" s="4">
        <v>1</v>
      </c>
      <c r="D10" s="4" t="s">
        <v>403</v>
      </c>
    </row>
    <row r="11" spans="1:4" ht="21.95" customHeight="1" x14ac:dyDescent="0.25">
      <c r="A11" s="6">
        <v>46268</v>
      </c>
      <c r="B11" s="4" t="s">
        <v>410</v>
      </c>
      <c r="C11" s="4">
        <v>1</v>
      </c>
      <c r="D11" s="4" t="s">
        <v>403</v>
      </c>
    </row>
    <row r="12" spans="1:4" ht="21.95" customHeight="1" x14ac:dyDescent="0.25">
      <c r="A12" s="6">
        <v>46269</v>
      </c>
      <c r="B12" s="4" t="s">
        <v>402</v>
      </c>
      <c r="C12" s="4">
        <v>1</v>
      </c>
      <c r="D12" s="4" t="s">
        <v>403</v>
      </c>
    </row>
    <row r="13" spans="1:4" ht="21.95" customHeight="1" x14ac:dyDescent="0.25">
      <c r="A13" s="23">
        <v>46270</v>
      </c>
      <c r="B13" s="2" t="s">
        <v>404</v>
      </c>
      <c r="C13" s="2">
        <v>0</v>
      </c>
      <c r="D13" s="2" t="s">
        <v>405</v>
      </c>
    </row>
    <row r="14" spans="1:4" ht="21.95" customHeight="1" x14ac:dyDescent="0.25">
      <c r="A14" s="23">
        <v>46271</v>
      </c>
      <c r="B14" s="2" t="s">
        <v>406</v>
      </c>
      <c r="C14" s="2">
        <v>0</v>
      </c>
      <c r="D14" s="2" t="s">
        <v>405</v>
      </c>
    </row>
    <row r="15" spans="1:4" ht="21.95" customHeight="1" x14ac:dyDescent="0.25">
      <c r="A15" s="6">
        <v>46272</v>
      </c>
      <c r="B15" s="4" t="s">
        <v>407</v>
      </c>
      <c r="C15" s="4">
        <v>1</v>
      </c>
      <c r="D15" s="4" t="s">
        <v>403</v>
      </c>
    </row>
    <row r="16" spans="1:4" ht="21.95" customHeight="1" x14ac:dyDescent="0.25">
      <c r="A16" s="6">
        <v>46273</v>
      </c>
      <c r="B16" s="4" t="s">
        <v>408</v>
      </c>
      <c r="C16" s="4">
        <v>1</v>
      </c>
      <c r="D16" s="4" t="s">
        <v>403</v>
      </c>
    </row>
    <row r="17" spans="1:4" ht="21.95" customHeight="1" x14ac:dyDescent="0.25">
      <c r="A17" s="6">
        <v>46274</v>
      </c>
      <c r="B17" s="4" t="s">
        <v>409</v>
      </c>
      <c r="C17" s="4">
        <v>1</v>
      </c>
      <c r="D17" s="4" t="s">
        <v>403</v>
      </c>
    </row>
    <row r="18" spans="1:4" ht="21.95" customHeight="1" x14ac:dyDescent="0.25">
      <c r="A18" s="6">
        <v>46275</v>
      </c>
      <c r="B18" s="4" t="s">
        <v>410</v>
      </c>
      <c r="C18" s="4">
        <v>1</v>
      </c>
      <c r="D18" s="4" t="s">
        <v>403</v>
      </c>
    </row>
    <row r="19" spans="1:4" ht="21.95" customHeight="1" x14ac:dyDescent="0.25">
      <c r="A19" s="6">
        <v>46276</v>
      </c>
      <c r="B19" s="4" t="s">
        <v>402</v>
      </c>
      <c r="C19" s="4">
        <v>1</v>
      </c>
      <c r="D19" s="4" t="s">
        <v>403</v>
      </c>
    </row>
    <row r="20" spans="1:4" ht="21.95" customHeight="1" x14ac:dyDescent="0.25">
      <c r="A20" s="23">
        <v>46277</v>
      </c>
      <c r="B20" s="2" t="s">
        <v>404</v>
      </c>
      <c r="C20" s="2">
        <v>0</v>
      </c>
      <c r="D20" s="2" t="s">
        <v>405</v>
      </c>
    </row>
    <row r="21" spans="1:4" ht="21.95" customHeight="1" x14ac:dyDescent="0.25">
      <c r="A21" s="23">
        <v>46278</v>
      </c>
      <c r="B21" s="2" t="s">
        <v>406</v>
      </c>
      <c r="C21" s="2">
        <v>0</v>
      </c>
      <c r="D21" s="2" t="s">
        <v>405</v>
      </c>
    </row>
    <row r="22" spans="1:4" ht="21.95" customHeight="1" x14ac:dyDescent="0.25">
      <c r="A22" s="6">
        <v>46279</v>
      </c>
      <c r="B22" s="4" t="s">
        <v>407</v>
      </c>
      <c r="C22" s="4">
        <v>1</v>
      </c>
      <c r="D22" s="4" t="s">
        <v>403</v>
      </c>
    </row>
    <row r="23" spans="1:4" ht="21.95" customHeight="1" x14ac:dyDescent="0.25">
      <c r="A23" s="6">
        <v>46280</v>
      </c>
      <c r="B23" s="4" t="s">
        <v>408</v>
      </c>
      <c r="C23" s="4">
        <v>1</v>
      </c>
      <c r="D23" s="4" t="s">
        <v>403</v>
      </c>
    </row>
    <row r="24" spans="1:4" ht="21.95" customHeight="1" x14ac:dyDescent="0.25">
      <c r="A24" s="6">
        <v>46281</v>
      </c>
      <c r="B24" s="4" t="s">
        <v>409</v>
      </c>
      <c r="C24" s="4">
        <v>1</v>
      </c>
      <c r="D24" s="4" t="s">
        <v>403</v>
      </c>
    </row>
    <row r="25" spans="1:4" ht="21.95" customHeight="1" x14ac:dyDescent="0.25">
      <c r="A25" s="6">
        <v>46282</v>
      </c>
      <c r="B25" s="4" t="s">
        <v>410</v>
      </c>
      <c r="C25" s="4">
        <v>1</v>
      </c>
      <c r="D25" s="4" t="s">
        <v>403</v>
      </c>
    </row>
    <row r="26" spans="1:4" ht="21.95" customHeight="1" x14ac:dyDescent="0.25">
      <c r="A26" s="6">
        <v>46283</v>
      </c>
      <c r="B26" s="4" t="s">
        <v>402</v>
      </c>
      <c r="C26" s="4">
        <v>1</v>
      </c>
      <c r="D26" s="4" t="s">
        <v>403</v>
      </c>
    </row>
    <row r="27" spans="1:4" ht="21.95" customHeight="1" x14ac:dyDescent="0.25">
      <c r="A27" s="23">
        <v>46284</v>
      </c>
      <c r="B27" s="2" t="s">
        <v>404</v>
      </c>
      <c r="C27" s="2">
        <v>0</v>
      </c>
      <c r="D27" s="2" t="s">
        <v>405</v>
      </c>
    </row>
    <row r="28" spans="1:4" ht="21.95" customHeight="1" x14ac:dyDescent="0.25">
      <c r="A28" s="23">
        <v>46285</v>
      </c>
      <c r="B28" s="2" t="s">
        <v>406</v>
      </c>
      <c r="C28" s="2">
        <v>0</v>
      </c>
      <c r="D28" s="2" t="s">
        <v>405</v>
      </c>
    </row>
    <row r="29" spans="1:4" ht="21.95" customHeight="1" x14ac:dyDescent="0.25">
      <c r="A29" s="6">
        <v>46286</v>
      </c>
      <c r="B29" s="4" t="s">
        <v>407</v>
      </c>
      <c r="C29" s="4">
        <v>1</v>
      </c>
      <c r="D29" s="4" t="s">
        <v>403</v>
      </c>
    </row>
    <row r="30" spans="1:4" ht="21.95" customHeight="1" x14ac:dyDescent="0.25">
      <c r="A30" s="6">
        <v>46287</v>
      </c>
      <c r="B30" s="4" t="s">
        <v>408</v>
      </c>
      <c r="C30" s="4">
        <v>1</v>
      </c>
      <c r="D30" s="4" t="s">
        <v>403</v>
      </c>
    </row>
    <row r="31" spans="1:4" ht="21.95" customHeight="1" x14ac:dyDescent="0.25">
      <c r="A31" s="6">
        <v>46288</v>
      </c>
      <c r="B31" s="4" t="s">
        <v>409</v>
      </c>
      <c r="C31" s="4">
        <v>1</v>
      </c>
      <c r="D31" s="4" t="s">
        <v>403</v>
      </c>
    </row>
    <row r="32" spans="1:4" ht="21.95" customHeight="1" x14ac:dyDescent="0.25">
      <c r="A32" s="6">
        <v>46289</v>
      </c>
      <c r="B32" s="4" t="s">
        <v>410</v>
      </c>
      <c r="C32" s="4">
        <v>1</v>
      </c>
      <c r="D32" s="4" t="s">
        <v>403</v>
      </c>
    </row>
    <row r="33" spans="1:4" ht="21.95" customHeight="1" x14ac:dyDescent="0.25">
      <c r="A33" s="6">
        <v>46290</v>
      </c>
      <c r="B33" s="4" t="s">
        <v>402</v>
      </c>
      <c r="C33" s="4">
        <v>1</v>
      </c>
      <c r="D33" s="4" t="s">
        <v>403</v>
      </c>
    </row>
    <row r="34" spans="1:4" ht="21.95" customHeight="1" x14ac:dyDescent="0.25">
      <c r="A34" s="23">
        <v>46291</v>
      </c>
      <c r="B34" s="2" t="s">
        <v>404</v>
      </c>
      <c r="C34" s="2">
        <v>0</v>
      </c>
      <c r="D34" s="2" t="s">
        <v>405</v>
      </c>
    </row>
    <row r="35" spans="1:4" ht="21.95" customHeight="1" x14ac:dyDescent="0.25">
      <c r="A35" s="23">
        <v>46292</v>
      </c>
      <c r="B35" s="2" t="s">
        <v>406</v>
      </c>
      <c r="C35" s="2">
        <v>0</v>
      </c>
      <c r="D35" s="2" t="s">
        <v>405</v>
      </c>
    </row>
    <row r="36" spans="1:4" ht="21.95" customHeight="1" x14ac:dyDescent="0.25">
      <c r="A36" s="6">
        <v>46293</v>
      </c>
      <c r="B36" s="4" t="s">
        <v>407</v>
      </c>
      <c r="C36" s="4">
        <v>1</v>
      </c>
      <c r="D36" s="4" t="s">
        <v>403</v>
      </c>
    </row>
    <row r="37" spans="1:4" ht="21.95" customHeight="1" x14ac:dyDescent="0.25">
      <c r="A37" s="6">
        <v>46294</v>
      </c>
      <c r="B37" s="4" t="s">
        <v>408</v>
      </c>
      <c r="C37" s="4">
        <v>1</v>
      </c>
      <c r="D37" s="4" t="s">
        <v>403</v>
      </c>
    </row>
    <row r="38" spans="1:4" ht="21.95" customHeight="1" x14ac:dyDescent="0.25">
      <c r="A38" s="6">
        <v>46295</v>
      </c>
      <c r="B38" s="4" t="s">
        <v>409</v>
      </c>
      <c r="C38" s="4">
        <v>1</v>
      </c>
      <c r="D38" s="4" t="s">
        <v>403</v>
      </c>
    </row>
    <row r="39" spans="1:4" ht="21.95" customHeight="1" x14ac:dyDescent="0.25">
      <c r="A39" s="6">
        <v>46296</v>
      </c>
      <c r="B39" s="4" t="s">
        <v>410</v>
      </c>
      <c r="C39" s="4">
        <v>1</v>
      </c>
      <c r="D39" s="4" t="s">
        <v>403</v>
      </c>
    </row>
    <row r="40" spans="1:4" ht="21.95" customHeight="1" x14ac:dyDescent="0.25">
      <c r="A40" s="6">
        <v>46297</v>
      </c>
      <c r="B40" s="4" t="s">
        <v>402</v>
      </c>
      <c r="C40" s="4">
        <v>1</v>
      </c>
      <c r="D40" s="4" t="s">
        <v>403</v>
      </c>
    </row>
    <row r="41" spans="1:4" ht="21.95" customHeight="1" x14ac:dyDescent="0.25">
      <c r="A41" s="23">
        <v>46298</v>
      </c>
      <c r="B41" s="2" t="s">
        <v>404</v>
      </c>
      <c r="C41" s="2">
        <v>0</v>
      </c>
      <c r="D41" s="2" t="s">
        <v>405</v>
      </c>
    </row>
    <row r="42" spans="1:4" ht="21.95" customHeight="1" x14ac:dyDescent="0.25">
      <c r="A42" s="23">
        <v>46299</v>
      </c>
      <c r="B42" s="2" t="s">
        <v>406</v>
      </c>
      <c r="C42" s="2">
        <v>0</v>
      </c>
      <c r="D42" s="2" t="s">
        <v>405</v>
      </c>
    </row>
    <row r="43" spans="1:4" ht="21.95" customHeight="1" x14ac:dyDescent="0.25">
      <c r="A43" s="6">
        <v>46300</v>
      </c>
      <c r="B43" s="4" t="s">
        <v>407</v>
      </c>
      <c r="C43" s="4">
        <v>1</v>
      </c>
      <c r="D43" s="4" t="s">
        <v>403</v>
      </c>
    </row>
    <row r="44" spans="1:4" ht="21.95" customHeight="1" x14ac:dyDescent="0.25">
      <c r="A44" s="6">
        <v>46301</v>
      </c>
      <c r="B44" s="4" t="s">
        <v>408</v>
      </c>
      <c r="C44" s="4">
        <v>1</v>
      </c>
      <c r="D44" s="4" t="s">
        <v>403</v>
      </c>
    </row>
    <row r="45" spans="1:4" ht="21.95" customHeight="1" x14ac:dyDescent="0.25">
      <c r="A45" s="6">
        <v>46302</v>
      </c>
      <c r="B45" s="4" t="s">
        <v>409</v>
      </c>
      <c r="C45" s="4">
        <v>1</v>
      </c>
      <c r="D45" s="4" t="s">
        <v>403</v>
      </c>
    </row>
    <row r="46" spans="1:4" ht="21.95" customHeight="1" x14ac:dyDescent="0.25">
      <c r="A46" s="23">
        <v>46303</v>
      </c>
      <c r="B46" s="2" t="s">
        <v>410</v>
      </c>
      <c r="C46" s="2">
        <v>0</v>
      </c>
      <c r="D46" s="2" t="s">
        <v>411</v>
      </c>
    </row>
    <row r="47" spans="1:4" ht="21.95" customHeight="1" x14ac:dyDescent="0.25">
      <c r="A47" s="6">
        <v>46304</v>
      </c>
      <c r="B47" s="4" t="s">
        <v>402</v>
      </c>
      <c r="C47" s="4">
        <v>1</v>
      </c>
      <c r="D47" s="4" t="s">
        <v>403</v>
      </c>
    </row>
    <row r="48" spans="1:4" ht="21.95" customHeight="1" x14ac:dyDescent="0.25">
      <c r="A48" s="23">
        <v>46305</v>
      </c>
      <c r="B48" s="2" t="s">
        <v>404</v>
      </c>
      <c r="C48" s="2">
        <v>0</v>
      </c>
      <c r="D48" s="2" t="s">
        <v>405</v>
      </c>
    </row>
    <row r="49" spans="1:4" ht="21.95" customHeight="1" x14ac:dyDescent="0.25">
      <c r="A49" s="23">
        <v>46306</v>
      </c>
      <c r="B49" s="2" t="s">
        <v>406</v>
      </c>
      <c r="C49" s="2">
        <v>0</v>
      </c>
      <c r="D49" s="2" t="s">
        <v>405</v>
      </c>
    </row>
    <row r="50" spans="1:4" ht="21.95" customHeight="1" x14ac:dyDescent="0.25">
      <c r="A50" s="6">
        <v>46307</v>
      </c>
      <c r="B50" s="4" t="s">
        <v>407</v>
      </c>
      <c r="C50" s="4">
        <v>1</v>
      </c>
      <c r="D50" s="4" t="s">
        <v>403</v>
      </c>
    </row>
    <row r="51" spans="1:4" ht="21.95" customHeight="1" x14ac:dyDescent="0.25">
      <c r="A51" s="6">
        <v>46308</v>
      </c>
      <c r="B51" s="4" t="s">
        <v>408</v>
      </c>
      <c r="C51" s="4">
        <v>1</v>
      </c>
      <c r="D51" s="4" t="s">
        <v>403</v>
      </c>
    </row>
    <row r="52" spans="1:4" ht="21.95" customHeight="1" x14ac:dyDescent="0.25">
      <c r="A52" s="6">
        <v>46309</v>
      </c>
      <c r="B52" s="4" t="s">
        <v>409</v>
      </c>
      <c r="C52" s="4">
        <v>1</v>
      </c>
      <c r="D52" s="4" t="s">
        <v>403</v>
      </c>
    </row>
    <row r="53" spans="1:4" ht="21.95" customHeight="1" x14ac:dyDescent="0.25">
      <c r="A53" s="6">
        <v>46310</v>
      </c>
      <c r="B53" s="4" t="s">
        <v>410</v>
      </c>
      <c r="C53" s="4">
        <v>1</v>
      </c>
      <c r="D53" s="4" t="s">
        <v>403</v>
      </c>
    </row>
    <row r="54" spans="1:4" ht="21.95" customHeight="1" x14ac:dyDescent="0.25">
      <c r="A54" s="6">
        <v>46311</v>
      </c>
      <c r="B54" s="4" t="s">
        <v>402</v>
      </c>
      <c r="C54" s="4">
        <v>1</v>
      </c>
      <c r="D54" s="4" t="s">
        <v>403</v>
      </c>
    </row>
    <row r="55" spans="1:4" ht="21.95" customHeight="1" x14ac:dyDescent="0.25">
      <c r="A55" s="23">
        <v>46312</v>
      </c>
      <c r="B55" s="2" t="s">
        <v>404</v>
      </c>
      <c r="C55" s="2">
        <v>0</v>
      </c>
      <c r="D55" s="2" t="s">
        <v>405</v>
      </c>
    </row>
    <row r="56" spans="1:4" ht="21.95" customHeight="1" x14ac:dyDescent="0.25">
      <c r="A56" s="23">
        <v>46313</v>
      </c>
      <c r="B56" s="2" t="s">
        <v>406</v>
      </c>
      <c r="C56" s="2">
        <v>0</v>
      </c>
      <c r="D56" s="2" t="s">
        <v>405</v>
      </c>
    </row>
    <row r="57" spans="1:4" ht="21.95" customHeight="1" x14ac:dyDescent="0.25">
      <c r="A57" s="6">
        <v>46314</v>
      </c>
      <c r="B57" s="4" t="s">
        <v>407</v>
      </c>
      <c r="C57" s="4">
        <v>1</v>
      </c>
      <c r="D57" s="4" t="s">
        <v>403</v>
      </c>
    </row>
    <row r="58" spans="1:4" ht="21.95" customHeight="1" x14ac:dyDescent="0.25">
      <c r="A58" s="6">
        <v>46315</v>
      </c>
      <c r="B58" s="4" t="s">
        <v>408</v>
      </c>
      <c r="C58" s="4">
        <v>1</v>
      </c>
      <c r="D58" s="4" t="s">
        <v>403</v>
      </c>
    </row>
    <row r="59" spans="1:4" ht="21.95" customHeight="1" x14ac:dyDescent="0.25">
      <c r="A59" s="6">
        <v>46316</v>
      </c>
      <c r="B59" s="4" t="s">
        <v>409</v>
      </c>
      <c r="C59" s="4">
        <v>1</v>
      </c>
      <c r="D59" s="4" t="s">
        <v>403</v>
      </c>
    </row>
    <row r="60" spans="1:4" ht="21.95" customHeight="1" x14ac:dyDescent="0.25">
      <c r="A60" s="6">
        <v>46317</v>
      </c>
      <c r="B60" s="4" t="s">
        <v>410</v>
      </c>
      <c r="C60" s="4">
        <v>1</v>
      </c>
      <c r="D60" s="4" t="s">
        <v>403</v>
      </c>
    </row>
    <row r="61" spans="1:4" ht="21.95" customHeight="1" x14ac:dyDescent="0.25">
      <c r="A61" s="6">
        <v>46318</v>
      </c>
      <c r="B61" s="4" t="s">
        <v>402</v>
      </c>
      <c r="C61" s="4">
        <v>1</v>
      </c>
      <c r="D61" s="4" t="s">
        <v>403</v>
      </c>
    </row>
    <row r="62" spans="1:4" ht="21.95" customHeight="1" x14ac:dyDescent="0.25">
      <c r="A62" s="23">
        <v>46319</v>
      </c>
      <c r="B62" s="2" t="s">
        <v>404</v>
      </c>
      <c r="C62" s="2">
        <v>0</v>
      </c>
      <c r="D62" s="2" t="s">
        <v>405</v>
      </c>
    </row>
    <row r="63" spans="1:4" ht="21.95" customHeight="1" x14ac:dyDescent="0.25">
      <c r="A63" s="23">
        <v>46320</v>
      </c>
      <c r="B63" s="2" t="s">
        <v>406</v>
      </c>
      <c r="C63" s="2">
        <v>0</v>
      </c>
      <c r="D63" s="2" t="s">
        <v>405</v>
      </c>
    </row>
    <row r="64" spans="1:4" ht="21.95" customHeight="1" x14ac:dyDescent="0.25">
      <c r="A64" s="6">
        <v>46321</v>
      </c>
      <c r="B64" s="4" t="s">
        <v>407</v>
      </c>
      <c r="C64" s="4">
        <v>1</v>
      </c>
      <c r="D64" s="4" t="s">
        <v>403</v>
      </c>
    </row>
    <row r="65" spans="1:4" ht="21.95" customHeight="1" x14ac:dyDescent="0.25">
      <c r="A65" s="6">
        <v>46322</v>
      </c>
      <c r="B65" s="4" t="s">
        <v>408</v>
      </c>
      <c r="C65" s="4">
        <v>1</v>
      </c>
      <c r="D65" s="4" t="s">
        <v>403</v>
      </c>
    </row>
    <row r="66" spans="1:4" ht="21.95" customHeight="1" x14ac:dyDescent="0.25">
      <c r="A66" s="6">
        <v>46323</v>
      </c>
      <c r="B66" s="4" t="s">
        <v>409</v>
      </c>
      <c r="C66" s="4">
        <v>1</v>
      </c>
      <c r="D66" s="4" t="s">
        <v>403</v>
      </c>
    </row>
    <row r="67" spans="1:4" ht="21.95" customHeight="1" x14ac:dyDescent="0.25">
      <c r="A67" s="6">
        <v>46324</v>
      </c>
      <c r="B67" s="4" t="s">
        <v>410</v>
      </c>
      <c r="C67" s="4">
        <v>1</v>
      </c>
      <c r="D67" s="4" t="s">
        <v>403</v>
      </c>
    </row>
    <row r="68" spans="1:4" ht="21.95" customHeight="1" x14ac:dyDescent="0.25">
      <c r="A68" s="6">
        <v>46325</v>
      </c>
      <c r="B68" s="4" t="s">
        <v>402</v>
      </c>
      <c r="C68" s="4">
        <v>1</v>
      </c>
      <c r="D68" s="4" t="s">
        <v>403</v>
      </c>
    </row>
    <row r="69" spans="1:4" ht="21.95" customHeight="1" x14ac:dyDescent="0.25">
      <c r="A69" s="23">
        <v>46326</v>
      </c>
      <c r="B69" s="2" t="s">
        <v>404</v>
      </c>
      <c r="C69" s="2">
        <v>0</v>
      </c>
      <c r="D69" s="2" t="s">
        <v>405</v>
      </c>
    </row>
    <row r="70" spans="1:4" ht="21.95" customHeight="1" x14ac:dyDescent="0.25">
      <c r="A70" s="23">
        <v>46327</v>
      </c>
      <c r="B70" s="2" t="s">
        <v>406</v>
      </c>
      <c r="C70" s="2">
        <v>0</v>
      </c>
      <c r="D70" s="2" t="s">
        <v>405</v>
      </c>
    </row>
    <row r="71" spans="1:4" ht="21.95" customHeight="1" x14ac:dyDescent="0.25">
      <c r="A71" s="6">
        <v>46328</v>
      </c>
      <c r="B71" s="4" t="s">
        <v>407</v>
      </c>
      <c r="C71" s="4">
        <v>1</v>
      </c>
      <c r="D71" s="4" t="s">
        <v>403</v>
      </c>
    </row>
    <row r="72" spans="1:4" ht="21.95" customHeight="1" x14ac:dyDescent="0.25">
      <c r="A72" s="6">
        <v>46329</v>
      </c>
      <c r="B72" s="4" t="s">
        <v>408</v>
      </c>
      <c r="C72" s="4">
        <v>1</v>
      </c>
      <c r="D72" s="4" t="s">
        <v>403</v>
      </c>
    </row>
    <row r="73" spans="1:4" ht="21.95" customHeight="1" x14ac:dyDescent="0.25">
      <c r="A73" s="6">
        <v>46330</v>
      </c>
      <c r="B73" s="4" t="s">
        <v>409</v>
      </c>
      <c r="C73" s="4">
        <v>1</v>
      </c>
      <c r="D73" s="4" t="s">
        <v>403</v>
      </c>
    </row>
    <row r="74" spans="1:4" ht="21.95" customHeight="1" x14ac:dyDescent="0.25">
      <c r="A74" s="6">
        <v>46331</v>
      </c>
      <c r="B74" s="4" t="s">
        <v>410</v>
      </c>
      <c r="C74" s="4">
        <v>1</v>
      </c>
      <c r="D74" s="4" t="s">
        <v>403</v>
      </c>
    </row>
    <row r="75" spans="1:4" ht="21.95" customHeight="1" x14ac:dyDescent="0.25">
      <c r="A75" s="6">
        <v>46332</v>
      </c>
      <c r="B75" s="4" t="s">
        <v>402</v>
      </c>
      <c r="C75" s="4">
        <v>1</v>
      </c>
      <c r="D75" s="4" t="s">
        <v>403</v>
      </c>
    </row>
    <row r="76" spans="1:4" ht="21.95" customHeight="1" x14ac:dyDescent="0.25">
      <c r="A76" s="23">
        <v>46333</v>
      </c>
      <c r="B76" s="2" t="s">
        <v>404</v>
      </c>
      <c r="C76" s="2">
        <v>0</v>
      </c>
      <c r="D76" s="2" t="s">
        <v>405</v>
      </c>
    </row>
    <row r="77" spans="1:4" ht="21.95" customHeight="1" x14ac:dyDescent="0.25">
      <c r="A77" s="23">
        <v>46334</v>
      </c>
      <c r="B77" s="2" t="s">
        <v>406</v>
      </c>
      <c r="C77" s="2">
        <v>0</v>
      </c>
      <c r="D77" s="2" t="s">
        <v>405</v>
      </c>
    </row>
    <row r="78" spans="1:4" ht="21.95" customHeight="1" x14ac:dyDescent="0.25">
      <c r="A78" s="6">
        <v>46335</v>
      </c>
      <c r="B78" s="4" t="s">
        <v>407</v>
      </c>
      <c r="C78" s="4">
        <v>1</v>
      </c>
      <c r="D78" s="4" t="s">
        <v>403</v>
      </c>
    </row>
    <row r="79" spans="1:4" ht="21.95" customHeight="1" x14ac:dyDescent="0.25">
      <c r="A79" s="6">
        <v>46336</v>
      </c>
      <c r="B79" s="4" t="s">
        <v>408</v>
      </c>
      <c r="C79" s="4">
        <v>1</v>
      </c>
      <c r="D79" s="4" t="s">
        <v>403</v>
      </c>
    </row>
    <row r="80" spans="1:4" ht="21.95" customHeight="1" x14ac:dyDescent="0.25">
      <c r="A80" s="6">
        <v>46337</v>
      </c>
      <c r="B80" s="4" t="s">
        <v>409</v>
      </c>
      <c r="C80" s="4">
        <v>1</v>
      </c>
      <c r="D80" s="4" t="s">
        <v>403</v>
      </c>
    </row>
    <row r="81" spans="1:4" ht="21.95" customHeight="1" x14ac:dyDescent="0.25">
      <c r="A81" s="6">
        <v>46338</v>
      </c>
      <c r="B81" s="4" t="s">
        <v>410</v>
      </c>
      <c r="C81" s="4">
        <v>1</v>
      </c>
      <c r="D81" s="4" t="s">
        <v>403</v>
      </c>
    </row>
    <row r="82" spans="1:4" ht="21.95" customHeight="1" x14ac:dyDescent="0.25">
      <c r="A82" s="6">
        <v>46339</v>
      </c>
      <c r="B82" s="4" t="s">
        <v>402</v>
      </c>
      <c r="C82" s="4">
        <v>1</v>
      </c>
      <c r="D82" s="4" t="s">
        <v>403</v>
      </c>
    </row>
    <row r="83" spans="1:4" ht="21.95" customHeight="1" x14ac:dyDescent="0.25">
      <c r="A83" s="23">
        <v>46340</v>
      </c>
      <c r="B83" s="2" t="s">
        <v>404</v>
      </c>
      <c r="C83" s="2">
        <v>0</v>
      </c>
      <c r="D83" s="2" t="s">
        <v>405</v>
      </c>
    </row>
    <row r="84" spans="1:4" ht="21.95" customHeight="1" x14ac:dyDescent="0.25">
      <c r="A84" s="23">
        <v>46341</v>
      </c>
      <c r="B84" s="2" t="s">
        <v>406</v>
      </c>
      <c r="C84" s="2">
        <v>0</v>
      </c>
      <c r="D84" s="2" t="s">
        <v>405</v>
      </c>
    </row>
    <row r="85" spans="1:4" ht="21.95" customHeight="1" x14ac:dyDescent="0.25">
      <c r="A85" s="6">
        <v>46342</v>
      </c>
      <c r="B85" s="4" t="s">
        <v>407</v>
      </c>
      <c r="C85" s="4">
        <v>1</v>
      </c>
      <c r="D85" s="4" t="s">
        <v>403</v>
      </c>
    </row>
    <row r="86" spans="1:4" ht="21.95" customHeight="1" x14ac:dyDescent="0.25">
      <c r="A86" s="6">
        <v>46343</v>
      </c>
      <c r="B86" s="4" t="s">
        <v>408</v>
      </c>
      <c r="C86" s="4">
        <v>1</v>
      </c>
      <c r="D86" s="4" t="s">
        <v>403</v>
      </c>
    </row>
    <row r="87" spans="1:4" ht="21.95" customHeight="1" x14ac:dyDescent="0.25">
      <c r="A87" s="6">
        <v>46344</v>
      </c>
      <c r="B87" s="4" t="s">
        <v>409</v>
      </c>
      <c r="C87" s="4">
        <v>1</v>
      </c>
      <c r="D87" s="4" t="s">
        <v>403</v>
      </c>
    </row>
    <row r="88" spans="1:4" ht="21.95" customHeight="1" x14ac:dyDescent="0.25">
      <c r="A88" s="6">
        <v>46345</v>
      </c>
      <c r="B88" s="4" t="s">
        <v>410</v>
      </c>
      <c r="C88" s="4">
        <v>1</v>
      </c>
      <c r="D88" s="4" t="s">
        <v>403</v>
      </c>
    </row>
    <row r="89" spans="1:4" ht="21.95" customHeight="1" x14ac:dyDescent="0.25">
      <c r="A89" s="6">
        <v>46346</v>
      </c>
      <c r="B89" s="4" t="s">
        <v>402</v>
      </c>
      <c r="C89" s="4">
        <v>1</v>
      </c>
      <c r="D89" s="4" t="s">
        <v>403</v>
      </c>
    </row>
    <row r="90" spans="1:4" ht="21.95" customHeight="1" x14ac:dyDescent="0.25">
      <c r="A90" s="23">
        <v>46347</v>
      </c>
      <c r="B90" s="2" t="s">
        <v>404</v>
      </c>
      <c r="C90" s="2">
        <v>0</v>
      </c>
      <c r="D90" s="2" t="s">
        <v>405</v>
      </c>
    </row>
    <row r="91" spans="1:4" ht="21.95" customHeight="1" x14ac:dyDescent="0.25">
      <c r="A91" s="23">
        <v>46348</v>
      </c>
      <c r="B91" s="2" t="s">
        <v>406</v>
      </c>
      <c r="C91" s="2">
        <v>0</v>
      </c>
      <c r="D91" s="2" t="s">
        <v>405</v>
      </c>
    </row>
    <row r="92" spans="1:4" ht="21.95" customHeight="1" x14ac:dyDescent="0.25">
      <c r="A92" s="6">
        <v>46349</v>
      </c>
      <c r="B92" s="4" t="s">
        <v>407</v>
      </c>
      <c r="C92" s="4">
        <v>1</v>
      </c>
      <c r="D92" s="4" t="s">
        <v>403</v>
      </c>
    </row>
    <row r="93" spans="1:4" ht="21.95" customHeight="1" x14ac:dyDescent="0.25">
      <c r="A93" s="6">
        <v>46350</v>
      </c>
      <c r="B93" s="4" t="s">
        <v>408</v>
      </c>
      <c r="C93" s="4">
        <v>1</v>
      </c>
      <c r="D93" s="4" t="s">
        <v>403</v>
      </c>
    </row>
    <row r="94" spans="1:4" ht="21.95" customHeight="1" x14ac:dyDescent="0.25">
      <c r="A94" s="6">
        <v>46351</v>
      </c>
      <c r="B94" s="4" t="s">
        <v>409</v>
      </c>
      <c r="C94" s="4">
        <v>1</v>
      </c>
      <c r="D94" s="4" t="s">
        <v>403</v>
      </c>
    </row>
    <row r="95" spans="1:4" ht="21.95" customHeight="1" x14ac:dyDescent="0.25">
      <c r="A95" s="6">
        <v>46352</v>
      </c>
      <c r="B95" s="4" t="s">
        <v>410</v>
      </c>
      <c r="C95" s="4">
        <v>1</v>
      </c>
      <c r="D95" s="4" t="s">
        <v>403</v>
      </c>
    </row>
    <row r="96" spans="1:4" ht="21.95" customHeight="1" x14ac:dyDescent="0.25">
      <c r="A96" s="6">
        <v>46353</v>
      </c>
      <c r="B96" s="4" t="s">
        <v>402</v>
      </c>
      <c r="C96" s="4">
        <v>1</v>
      </c>
      <c r="D96" s="4" t="s">
        <v>403</v>
      </c>
    </row>
    <row r="97" spans="1:4" ht="21.95" customHeight="1" x14ac:dyDescent="0.25">
      <c r="A97" s="23">
        <v>46354</v>
      </c>
      <c r="B97" s="2" t="s">
        <v>404</v>
      </c>
      <c r="C97" s="2">
        <v>0</v>
      </c>
      <c r="D97" s="2" t="s">
        <v>405</v>
      </c>
    </row>
    <row r="98" spans="1:4" ht="21.95" customHeight="1" x14ac:dyDescent="0.25">
      <c r="A98" s="23">
        <v>46355</v>
      </c>
      <c r="B98" s="2" t="s">
        <v>406</v>
      </c>
      <c r="C98" s="2">
        <v>0</v>
      </c>
      <c r="D98" s="2" t="s">
        <v>405</v>
      </c>
    </row>
    <row r="99" spans="1:4" ht="21.95" customHeight="1" x14ac:dyDescent="0.25">
      <c r="A99" s="6">
        <v>46356</v>
      </c>
      <c r="B99" s="4" t="s">
        <v>407</v>
      </c>
      <c r="C99" s="4">
        <v>1</v>
      </c>
      <c r="D99" s="4" t="s">
        <v>403</v>
      </c>
    </row>
    <row r="100" spans="1:4" ht="21.95" customHeight="1" x14ac:dyDescent="0.25">
      <c r="A100" s="6">
        <v>46357</v>
      </c>
      <c r="B100" s="4" t="s">
        <v>408</v>
      </c>
      <c r="C100" s="4">
        <v>1</v>
      </c>
      <c r="D100" s="4" t="s">
        <v>403</v>
      </c>
    </row>
    <row r="101" spans="1:4" ht="21.95" customHeight="1" x14ac:dyDescent="0.25">
      <c r="A101" s="6">
        <v>46358</v>
      </c>
      <c r="B101" s="4" t="s">
        <v>409</v>
      </c>
      <c r="C101" s="4">
        <v>1</v>
      </c>
      <c r="D101" s="4" t="s">
        <v>403</v>
      </c>
    </row>
    <row r="102" spans="1:4" ht="21.95" customHeight="1" x14ac:dyDescent="0.25">
      <c r="A102" s="6">
        <v>46359</v>
      </c>
      <c r="B102" s="4" t="s">
        <v>410</v>
      </c>
      <c r="C102" s="4">
        <v>1</v>
      </c>
      <c r="D102" s="4" t="s">
        <v>403</v>
      </c>
    </row>
    <row r="103" spans="1:4" ht="21.95" customHeight="1" x14ac:dyDescent="0.25">
      <c r="A103" s="6">
        <v>46360</v>
      </c>
      <c r="B103" s="4" t="s">
        <v>402</v>
      </c>
      <c r="C103" s="4">
        <v>1</v>
      </c>
      <c r="D103" s="4" t="s">
        <v>403</v>
      </c>
    </row>
    <row r="104" spans="1:4" ht="21.95" customHeight="1" x14ac:dyDescent="0.25">
      <c r="A104" s="23">
        <v>46361</v>
      </c>
      <c r="B104" s="2" t="s">
        <v>404</v>
      </c>
      <c r="C104" s="2">
        <v>0</v>
      </c>
      <c r="D104" s="2" t="s">
        <v>405</v>
      </c>
    </row>
    <row r="105" spans="1:4" ht="21.95" customHeight="1" x14ac:dyDescent="0.25">
      <c r="A105" s="23">
        <v>46362</v>
      </c>
      <c r="B105" s="2" t="s">
        <v>406</v>
      </c>
      <c r="C105" s="2">
        <v>0</v>
      </c>
      <c r="D105" s="2" t="s">
        <v>405</v>
      </c>
    </row>
    <row r="106" spans="1:4" ht="21.95" customHeight="1" x14ac:dyDescent="0.25">
      <c r="A106" s="6">
        <v>46363</v>
      </c>
      <c r="B106" s="4" t="s">
        <v>407</v>
      </c>
      <c r="C106" s="4">
        <v>1</v>
      </c>
      <c r="D106" s="4" t="s">
        <v>403</v>
      </c>
    </row>
    <row r="107" spans="1:4" ht="21.95" customHeight="1" x14ac:dyDescent="0.25">
      <c r="A107" s="23">
        <v>46364</v>
      </c>
      <c r="B107" s="2" t="s">
        <v>408</v>
      </c>
      <c r="C107" s="2">
        <v>0</v>
      </c>
      <c r="D107" s="2" t="s">
        <v>411</v>
      </c>
    </row>
    <row r="108" spans="1:4" ht="21.95" customHeight="1" x14ac:dyDescent="0.25">
      <c r="A108" s="23">
        <v>46365</v>
      </c>
      <c r="B108" s="2" t="s">
        <v>409</v>
      </c>
      <c r="C108" s="2">
        <v>0</v>
      </c>
      <c r="D108" s="2" t="s">
        <v>411</v>
      </c>
    </row>
    <row r="109" spans="1:4" ht="21.95" customHeight="1" x14ac:dyDescent="0.25">
      <c r="A109" s="6">
        <v>46366</v>
      </c>
      <c r="B109" s="4" t="s">
        <v>410</v>
      </c>
      <c r="C109" s="4">
        <v>1</v>
      </c>
      <c r="D109" s="4" t="s">
        <v>403</v>
      </c>
    </row>
    <row r="110" spans="1:4" ht="21.95" customHeight="1" x14ac:dyDescent="0.25">
      <c r="A110" s="6">
        <v>46367</v>
      </c>
      <c r="B110" s="4" t="s">
        <v>402</v>
      </c>
      <c r="C110" s="4">
        <v>1</v>
      </c>
      <c r="D110" s="4" t="s">
        <v>403</v>
      </c>
    </row>
    <row r="111" spans="1:4" ht="21.95" customHeight="1" x14ac:dyDescent="0.25">
      <c r="A111" s="23">
        <v>46368</v>
      </c>
      <c r="B111" s="2" t="s">
        <v>404</v>
      </c>
      <c r="C111" s="2">
        <v>0</v>
      </c>
      <c r="D111" s="2" t="s">
        <v>405</v>
      </c>
    </row>
    <row r="112" spans="1:4" ht="21.95" customHeight="1" x14ac:dyDescent="0.25">
      <c r="A112" s="23">
        <v>46369</v>
      </c>
      <c r="B112" s="2" t="s">
        <v>406</v>
      </c>
      <c r="C112" s="2">
        <v>0</v>
      </c>
      <c r="D112" s="2" t="s">
        <v>405</v>
      </c>
    </row>
    <row r="113" spans="1:4" ht="21.95" customHeight="1" x14ac:dyDescent="0.25">
      <c r="A113" s="6">
        <v>46370</v>
      </c>
      <c r="B113" s="4" t="s">
        <v>407</v>
      </c>
      <c r="C113" s="4">
        <v>1</v>
      </c>
      <c r="D113" s="4" t="s">
        <v>403</v>
      </c>
    </row>
    <row r="114" spans="1:4" ht="21.95" customHeight="1" x14ac:dyDescent="0.25">
      <c r="A114" s="6">
        <v>46371</v>
      </c>
      <c r="B114" s="4" t="s">
        <v>408</v>
      </c>
      <c r="C114" s="4">
        <v>1</v>
      </c>
      <c r="D114" s="4" t="s">
        <v>403</v>
      </c>
    </row>
    <row r="115" spans="1:4" ht="21.95" customHeight="1" x14ac:dyDescent="0.25">
      <c r="A115" s="6">
        <v>46372</v>
      </c>
      <c r="B115" s="4" t="s">
        <v>409</v>
      </c>
      <c r="C115" s="4">
        <v>1</v>
      </c>
      <c r="D115" s="4" t="s">
        <v>403</v>
      </c>
    </row>
    <row r="116" spans="1:4" ht="21.95" customHeight="1" x14ac:dyDescent="0.25">
      <c r="A116" s="6">
        <v>46373</v>
      </c>
      <c r="B116" s="4" t="s">
        <v>410</v>
      </c>
      <c r="C116" s="4">
        <v>1</v>
      </c>
      <c r="D116" s="4" t="s">
        <v>403</v>
      </c>
    </row>
    <row r="117" spans="1:4" ht="21.95" customHeight="1" x14ac:dyDescent="0.25">
      <c r="A117" s="6">
        <v>46374</v>
      </c>
      <c r="B117" s="4" t="s">
        <v>402</v>
      </c>
      <c r="C117" s="4">
        <v>1</v>
      </c>
      <c r="D117" s="4" t="s">
        <v>403</v>
      </c>
    </row>
    <row r="118" spans="1:4" ht="21.95" customHeight="1" x14ac:dyDescent="0.25">
      <c r="A118" s="23">
        <v>46375</v>
      </c>
      <c r="B118" s="2" t="s">
        <v>404</v>
      </c>
      <c r="C118" s="2">
        <v>0</v>
      </c>
      <c r="D118" s="2" t="s">
        <v>405</v>
      </c>
    </row>
    <row r="119" spans="1:4" ht="21.95" customHeight="1" x14ac:dyDescent="0.25">
      <c r="A119" s="23">
        <v>46376</v>
      </c>
      <c r="B119" s="2" t="s">
        <v>406</v>
      </c>
      <c r="C119" s="2">
        <v>0</v>
      </c>
      <c r="D119" s="2" t="s">
        <v>405</v>
      </c>
    </row>
    <row r="120" spans="1:4" ht="21.95" customHeight="1" x14ac:dyDescent="0.25">
      <c r="A120" s="6">
        <v>46377</v>
      </c>
      <c r="B120" s="4" t="s">
        <v>407</v>
      </c>
      <c r="C120" s="4">
        <v>1</v>
      </c>
      <c r="D120" s="4" t="s">
        <v>403</v>
      </c>
    </row>
    <row r="121" spans="1:4" ht="21.95" customHeight="1" x14ac:dyDescent="0.25">
      <c r="A121" s="6">
        <v>46378</v>
      </c>
      <c r="B121" s="4" t="s">
        <v>408</v>
      </c>
      <c r="C121" s="4">
        <v>1</v>
      </c>
      <c r="D121" s="4" t="s">
        <v>403</v>
      </c>
    </row>
    <row r="122" spans="1:4" ht="21.95" customHeight="1" x14ac:dyDescent="0.25">
      <c r="A122" s="6">
        <v>46379</v>
      </c>
      <c r="B122" s="4" t="s">
        <v>409</v>
      </c>
      <c r="C122" s="4">
        <v>1</v>
      </c>
      <c r="D122" s="4" t="s">
        <v>403</v>
      </c>
    </row>
    <row r="123" spans="1:4" ht="21.95" customHeight="1" x14ac:dyDescent="0.25">
      <c r="A123" s="6">
        <v>46380</v>
      </c>
      <c r="B123" s="4" t="s">
        <v>410</v>
      </c>
      <c r="C123" s="4">
        <v>1</v>
      </c>
      <c r="D123" s="4" t="s">
        <v>403</v>
      </c>
    </row>
    <row r="124" spans="1:4" ht="21.95" customHeight="1" x14ac:dyDescent="0.25">
      <c r="A124" s="23">
        <v>46381</v>
      </c>
      <c r="B124" s="2" t="s">
        <v>402</v>
      </c>
      <c r="C124" s="2">
        <v>0</v>
      </c>
      <c r="D124" s="2" t="s">
        <v>411</v>
      </c>
    </row>
    <row r="125" spans="1:4" ht="21.95" customHeight="1" x14ac:dyDescent="0.25">
      <c r="A125" s="23">
        <v>46382</v>
      </c>
      <c r="B125" s="2" t="s">
        <v>404</v>
      </c>
      <c r="C125" s="2">
        <v>0</v>
      </c>
      <c r="D125" s="2" t="s">
        <v>405</v>
      </c>
    </row>
    <row r="126" spans="1:4" ht="21.95" customHeight="1" x14ac:dyDescent="0.25">
      <c r="A126" s="23">
        <v>46383</v>
      </c>
      <c r="B126" s="2" t="s">
        <v>406</v>
      </c>
      <c r="C126" s="2">
        <v>0</v>
      </c>
      <c r="D126" s="2" t="s">
        <v>405</v>
      </c>
    </row>
    <row r="127" spans="1:4" ht="21.95" customHeight="1" x14ac:dyDescent="0.25">
      <c r="A127" s="6">
        <v>46384</v>
      </c>
      <c r="B127" s="4" t="s">
        <v>407</v>
      </c>
      <c r="C127" s="4">
        <v>1</v>
      </c>
      <c r="D127" s="4" t="s">
        <v>403</v>
      </c>
    </row>
    <row r="128" spans="1:4" ht="21.95" customHeight="1" x14ac:dyDescent="0.25">
      <c r="A128" s="6">
        <v>46385</v>
      </c>
      <c r="B128" s="4" t="s">
        <v>408</v>
      </c>
      <c r="C128" s="4">
        <v>1</v>
      </c>
      <c r="D128" s="4" t="s">
        <v>403</v>
      </c>
    </row>
    <row r="129" spans="1:4" ht="21.95" customHeight="1" x14ac:dyDescent="0.25">
      <c r="A129" s="6">
        <v>46386</v>
      </c>
      <c r="B129" s="4" t="s">
        <v>409</v>
      </c>
      <c r="C129" s="4">
        <v>1</v>
      </c>
      <c r="D129" s="4" t="s">
        <v>403</v>
      </c>
    </row>
    <row r="130" spans="1:4" ht="21.95" customHeight="1" x14ac:dyDescent="0.25">
      <c r="A130" s="6">
        <v>46387</v>
      </c>
      <c r="B130" s="4" t="s">
        <v>410</v>
      </c>
      <c r="C130" s="4">
        <v>1</v>
      </c>
      <c r="D130" s="4" t="s">
        <v>403</v>
      </c>
    </row>
  </sheetData>
  <autoFilter ref="A4:D130" xr:uid="{00000000-0009-0000-0000-000007000000}"/>
  <mergeCells count="1">
    <mergeCell ref="A1:D2"/>
  </mergeCells>
  <dataValidations count="1">
    <dataValidation type="whole" showErrorMessage="1" sqref="C5:C130" xr:uid="{00000000-0002-0000-0700-000000000000}">
      <formula1>0</formula1>
      <formula2>1</formula2>
    </dataValidation>
  </dataValidations>
  <printOptions horizontalCentered="1"/>
  <pageMargins left="0.22" right="0.22" top="0.35" bottom="0.35" header="0.5" footer="0.5"/>
  <pageSetup paperSize="8" fitToHeight="0" orientation="landscape"/>
  <headerFooter>
    <oddFooter>&amp;C&amp;8 KJA · Planificación al 22/09/2026 ·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15</vt:i4>
      </vt:variant>
    </vt:vector>
  </HeadingPairs>
  <TitlesOfParts>
    <vt:vector size="23" baseType="lpstr">
      <vt:lpstr>LEEME</vt:lpstr>
      <vt:lpstr>ANTECEDENTE</vt:lpstr>
      <vt:lpstr>SPRINT 1</vt:lpstr>
      <vt:lpstr>SPRINT 2</vt:lpstr>
      <vt:lpstr>SPRINT 3</vt:lpstr>
      <vt:lpstr>SPRINT 4</vt:lpstr>
      <vt:lpstr>TAREAS</vt:lpstr>
      <vt:lpstr>CALENDARIO</vt:lpstr>
      <vt:lpstr>ANTECEDENTE!Área_de_impresión</vt:lpstr>
      <vt:lpstr>CALENDARIO!Área_de_impresión</vt:lpstr>
      <vt:lpstr>LEEME!Área_de_impresión</vt:lpstr>
      <vt:lpstr>'SPRINT 1'!Área_de_impresión</vt:lpstr>
      <vt:lpstr>'SPRINT 2'!Área_de_impresión</vt:lpstr>
      <vt:lpstr>'SPRINT 3'!Área_de_impresión</vt:lpstr>
      <vt:lpstr>'SPRINT 4'!Área_de_impresión</vt:lpstr>
      <vt:lpstr>TAREAS!Área_de_impresión</vt:lpstr>
      <vt:lpstr>ANTECEDENTE!Títulos_a_imprimir</vt:lpstr>
      <vt:lpstr>CALENDARIO!Títulos_a_imprimir</vt:lpstr>
      <vt:lpstr>'SPRINT 1'!Títulos_a_imprimir</vt:lpstr>
      <vt:lpstr>'SPRINT 2'!Títulos_a_imprimir</vt:lpstr>
      <vt:lpstr>'SPRINT 3'!Títulos_a_imprimir</vt:lpstr>
      <vt:lpstr>'SPRINT 4'!Títulos_a_imprimir</vt:lpstr>
      <vt:lpstr>TAREAS!Títulos_a_imprimir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Yeiser Medina</cp:lastModifiedBy>
  <dcterms:created xsi:type="dcterms:W3CDTF">2026-09-22T15:39:09Z</dcterms:created>
  <dcterms:modified xsi:type="dcterms:W3CDTF">2026-09-22T15:39:12Z</dcterms:modified>
</cp:coreProperties>
</file>